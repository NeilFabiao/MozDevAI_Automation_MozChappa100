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📅 MoM Analysis" sheetId="2" state="visible" r:id="rId4"/>
    <sheet name="📈 Daily Trends" sheetId="3" state="visible" r:id="rId5"/>
    <sheet name="🏆 Performe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<sst xmlns="http://schemas.openxmlformats.org/spreadsheetml/2006/main" count="261" uniqueCount="179">
  <si>
    <t xml:space="preserve">  🚌  MOZCHAPA100 — Operations Dashboard   |   March – May 2026</t>
  </si>
  <si>
    <t xml:space="preserve">💰 Total Revenue</t>
  </si>
  <si>
    <t xml:space="preserve">🚌 Total Trips</t>
  </si>
  <si>
    <t xml:space="preserve">👥 Total Passengers</t>
  </si>
  <si>
    <t xml:space="preserve">🎫 Tickets Sold</t>
  </si>
  <si>
    <t xml:space="preserve">Mar–May 2026</t>
  </si>
  <si>
    <t xml:space="preserve">📈  MONTH-ON-MONTH PERFORMANCE</t>
  </si>
  <si>
    <t xml:space="preserve">Metric</t>
  </si>
  <si>
    <t xml:space="preserve">May (M3)</t>
  </si>
  <si>
    <t xml:space="preserve">Apr (M2)</t>
  </si>
  <si>
    <t xml:space="preserve">Mar (M1)</t>
  </si>
  <si>
    <t xml:space="preserve">M3 vs M2 %</t>
  </si>
  <si>
    <t xml:space="preserve">M2 vs M1 %</t>
  </si>
  <si>
    <t xml:space="preserve">M3 vs M2 Abs</t>
  </si>
  <si>
    <t xml:space="preserve">M2 vs M1 Abs</t>
  </si>
  <si>
    <t xml:space="preserve">Daily Avg M3</t>
  </si>
  <si>
    <t xml:space="preserve">Daily Avg M2</t>
  </si>
  <si>
    <t xml:space="preserve">Daily Avg Δ M3/M2</t>
  </si>
  <si>
    <t xml:space="preserve">Daily Avg Δ M2/M1</t>
  </si>
  <si>
    <t xml:space="preserve">Revenue (MZN)</t>
  </si>
  <si>
    <t xml:space="preserve">Trips</t>
  </si>
  <si>
    <t xml:space="preserve">Passengers</t>
  </si>
  <si>
    <t xml:space="preserve">Tickets Sold</t>
  </si>
  <si>
    <t xml:space="preserve">🏷️  REVENUE BY SEGMENT</t>
  </si>
  <si>
    <t xml:space="preserve">💳  PAYMENT MIX — Revenue (MZN)</t>
  </si>
  <si>
    <t xml:space="preserve">Segment</t>
  </si>
  <si>
    <t xml:space="preserve">Payment</t>
  </si>
  <si>
    <t xml:space="preserve">Estudante</t>
  </si>
  <si>
    <t xml:space="preserve">M-Pesa</t>
  </si>
  <si>
    <t xml:space="preserve">Trabalhador</t>
  </si>
  <si>
    <t xml:space="preserve">Numerário</t>
  </si>
  <si>
    <t xml:space="preserve">Turista</t>
  </si>
  <si>
    <t xml:space="preserve">e-Mola</t>
  </si>
  <si>
    <t xml:space="preserve">🗺️  REVENUE BY ROUTE</t>
  </si>
  <si>
    <t xml:space="preserve">Route</t>
  </si>
  <si>
    <t xml:space="preserve">M3 Rank</t>
  </si>
  <si>
    <t xml:space="preserve">Share M3</t>
  </si>
  <si>
    <t xml:space="preserve">Machava - Marracuene</t>
  </si>
  <si>
    <t xml:space="preserve">🥉</t>
  </si>
  <si>
    <t xml:space="preserve">Maputo Centro - KaMavota</t>
  </si>
  <si>
    <t xml:space="preserve">#4</t>
  </si>
  <si>
    <t xml:space="preserve">Maputo Centro - Machava</t>
  </si>
  <si>
    <t xml:space="preserve">🥈</t>
  </si>
  <si>
    <t xml:space="preserve">Maputo Centro - Matola</t>
  </si>
  <si>
    <t xml:space="preserve">🥇</t>
  </si>
  <si>
    <t xml:space="preserve">Matola - Boane</t>
  </si>
  <si>
    <t xml:space="preserve">#5</t>
  </si>
  <si>
    <t xml:space="preserve">  📅  MozChapa100 — Month-on-Month Analysis</t>
  </si>
  <si>
    <t xml:space="preserve">▶  Revenue (MZN)</t>
  </si>
  <si>
    <t xml:space="preserve">May 2026
(M3)</t>
  </si>
  <si>
    <t xml:space="preserve">Apr 2026
(M2)</t>
  </si>
  <si>
    <t xml:space="preserve">Mar 2026
(M1)</t>
  </si>
  <si>
    <t xml:space="preserve">M3 vs M2
%</t>
  </si>
  <si>
    <t xml:space="preserve">M2 vs M1
%</t>
  </si>
  <si>
    <t xml:space="preserve">M3 vs M2
Abs Diff</t>
  </si>
  <si>
    <t xml:space="preserve">M2 vs M1
Abs Diff</t>
  </si>
  <si>
    <t xml:space="preserve">Daily Avg
M3</t>
  </si>
  <si>
    <t xml:space="preserve">Daily Avg
M2</t>
  </si>
  <si>
    <t xml:space="preserve">TOTAL</t>
  </si>
  <si>
    <t xml:space="preserve">  └ Estudante</t>
  </si>
  <si>
    <t xml:space="preserve">  └ Trabalhador</t>
  </si>
  <si>
    <t xml:space="preserve">  └ Turista</t>
  </si>
  <si>
    <t xml:space="preserve">▶  Trips</t>
  </si>
  <si>
    <t xml:space="preserve">▶  Passengers</t>
  </si>
  <si>
    <t xml:space="preserve">▶  Tickets Sold</t>
  </si>
  <si>
    <t xml:space="preserve">  📈  MozChapa100 — Daily Operational Trends</t>
  </si>
  <si>
    <t xml:space="preserve">Date</t>
  </si>
  <si>
    <t xml:space="preserve">01 Mar 2026</t>
  </si>
  <si>
    <t xml:space="preserve">02 Mar 2026</t>
  </si>
  <si>
    <t xml:space="preserve">03 Mar 2026</t>
  </si>
  <si>
    <t xml:space="preserve">04 Mar 2026</t>
  </si>
  <si>
    <t xml:space="preserve">05 Mar 2026</t>
  </si>
  <si>
    <t xml:space="preserve">06 Mar 2026</t>
  </si>
  <si>
    <t xml:space="preserve">07 Mar 2026</t>
  </si>
  <si>
    <t xml:space="preserve">08 Mar 2026</t>
  </si>
  <si>
    <t xml:space="preserve">09 Mar 2026</t>
  </si>
  <si>
    <t xml:space="preserve">10 Mar 2026</t>
  </si>
  <si>
    <t xml:space="preserve">11 Mar 2026</t>
  </si>
  <si>
    <t xml:space="preserve">12 Mar 2026</t>
  </si>
  <si>
    <t xml:space="preserve">13 Mar 2026</t>
  </si>
  <si>
    <t xml:space="preserve">14 Mar 2026</t>
  </si>
  <si>
    <t xml:space="preserve">15 Mar 2026</t>
  </si>
  <si>
    <t xml:space="preserve">16 Mar 2026</t>
  </si>
  <si>
    <t xml:space="preserve">17 Mar 2026</t>
  </si>
  <si>
    <t xml:space="preserve">18 Mar 2026</t>
  </si>
  <si>
    <t xml:space="preserve">19 Mar 2026</t>
  </si>
  <si>
    <t xml:space="preserve">20 Mar 2026</t>
  </si>
  <si>
    <t xml:space="preserve">21 Mar 2026</t>
  </si>
  <si>
    <t xml:space="preserve">22 Mar 2026</t>
  </si>
  <si>
    <t xml:space="preserve">23 Mar 2026</t>
  </si>
  <si>
    <t xml:space="preserve">24 Mar 2026</t>
  </si>
  <si>
    <t xml:space="preserve">25 Mar 2026</t>
  </si>
  <si>
    <t xml:space="preserve">26 Mar 2026</t>
  </si>
  <si>
    <t xml:space="preserve">27 Mar 2026</t>
  </si>
  <si>
    <t xml:space="preserve">28 Mar 2026</t>
  </si>
  <si>
    <t xml:space="preserve">29 Mar 2026</t>
  </si>
  <si>
    <t xml:space="preserve">30 Mar 2026</t>
  </si>
  <si>
    <t xml:space="preserve">31 Mar 2026</t>
  </si>
  <si>
    <t xml:space="preserve">01 Apr 2026</t>
  </si>
  <si>
    <t xml:space="preserve">02 Apr 2026</t>
  </si>
  <si>
    <t xml:space="preserve">03 Apr 2026</t>
  </si>
  <si>
    <t xml:space="preserve">04 Apr 2026</t>
  </si>
  <si>
    <t xml:space="preserve">05 Apr 2026</t>
  </si>
  <si>
    <t xml:space="preserve">06 Apr 2026</t>
  </si>
  <si>
    <t xml:space="preserve">07 Apr 2026</t>
  </si>
  <si>
    <t xml:space="preserve">08 Apr 2026</t>
  </si>
  <si>
    <t xml:space="preserve">09 Apr 2026</t>
  </si>
  <si>
    <t xml:space="preserve">10 Apr 2026</t>
  </si>
  <si>
    <t xml:space="preserve">11 Apr 2026</t>
  </si>
  <si>
    <t xml:space="preserve">12 Apr 2026</t>
  </si>
  <si>
    <t xml:space="preserve">13 Apr 2026</t>
  </si>
  <si>
    <t xml:space="preserve">14 Apr 2026</t>
  </si>
  <si>
    <t xml:space="preserve">15 Apr 2026</t>
  </si>
  <si>
    <t xml:space="preserve">16 Apr 2026</t>
  </si>
  <si>
    <t xml:space="preserve">17 Apr 2026</t>
  </si>
  <si>
    <t xml:space="preserve">18 Apr 2026</t>
  </si>
  <si>
    <t xml:space="preserve">19 Apr 2026</t>
  </si>
  <si>
    <t xml:space="preserve">20 Apr 2026</t>
  </si>
  <si>
    <t xml:space="preserve">21 Apr 2026</t>
  </si>
  <si>
    <t xml:space="preserve">22 Apr 2026</t>
  </si>
  <si>
    <t xml:space="preserve">23 Apr 2026</t>
  </si>
  <si>
    <t xml:space="preserve">24 Apr 2026</t>
  </si>
  <si>
    <t xml:space="preserve">25 Apr 2026</t>
  </si>
  <si>
    <t xml:space="preserve">26 Apr 2026</t>
  </si>
  <si>
    <t xml:space="preserve">27 Apr 2026</t>
  </si>
  <si>
    <t xml:space="preserve">28 Apr 2026</t>
  </si>
  <si>
    <t xml:space="preserve">29 Apr 2026</t>
  </si>
  <si>
    <t xml:space="preserve">30 Apr 2026</t>
  </si>
  <si>
    <t xml:space="preserve">01 May 2026</t>
  </si>
  <si>
    <t xml:space="preserve">02 May 2026</t>
  </si>
  <si>
    <t xml:space="preserve">03 May 2026</t>
  </si>
  <si>
    <t xml:space="preserve">04 May 2026</t>
  </si>
  <si>
    <t xml:space="preserve">05 May 2026</t>
  </si>
  <si>
    <t xml:space="preserve">06 May 2026</t>
  </si>
  <si>
    <t xml:space="preserve">07 May 2026</t>
  </si>
  <si>
    <t xml:space="preserve">08 May 2026</t>
  </si>
  <si>
    <t xml:space="preserve">09 May 2026</t>
  </si>
  <si>
    <t xml:space="preserve">10 May 2026</t>
  </si>
  <si>
    <t xml:space="preserve">11 May 2026</t>
  </si>
  <si>
    <t xml:space="preserve">12 May 2026</t>
  </si>
  <si>
    <t xml:space="preserve">13 May 2026</t>
  </si>
  <si>
    <t xml:space="preserve">14 May 2026</t>
  </si>
  <si>
    <t xml:space="preserve">15 May 2026</t>
  </si>
  <si>
    <t xml:space="preserve">16 May 2026</t>
  </si>
  <si>
    <t xml:space="preserve">17 May 2026</t>
  </si>
  <si>
    <t xml:space="preserve">18 May 2026</t>
  </si>
  <si>
    <t xml:space="preserve">19 May 2026</t>
  </si>
  <si>
    <t xml:space="preserve">20 May 2026</t>
  </si>
  <si>
    <t xml:space="preserve">21 May 2026</t>
  </si>
  <si>
    <t xml:space="preserve">22 May 2026</t>
  </si>
  <si>
    <t xml:space="preserve">23 May 2026</t>
  </si>
  <si>
    <t xml:space="preserve">24 May 2026</t>
  </si>
  <si>
    <t xml:space="preserve">25 May 2026</t>
  </si>
  <si>
    <t xml:space="preserve">26 May 2026</t>
  </si>
  <si>
    <t xml:space="preserve">27 May 2026</t>
  </si>
  <si>
    <t xml:space="preserve">28 May 2026</t>
  </si>
  <si>
    <t xml:space="preserve">29 May 2026</t>
  </si>
  <si>
    <t xml:space="preserve">30 May 2026</t>
  </si>
  <si>
    <t xml:space="preserve">31 May 2026</t>
  </si>
  <si>
    <t xml:space="preserve">  🏆  MozChapa100 — Top &amp; Bottom Performers by Route</t>
  </si>
  <si>
    <t xml:space="preserve">🏆 TOP PERFORMERS — Revenue May 2026</t>
  </si>
  <si>
    <t xml:space="preserve">May Rev</t>
  </si>
  <si>
    <t xml:space="preserve">Apr Rev</t>
  </si>
  <si>
    <t xml:space="preserve">Mar Rev</t>
  </si>
  <si>
    <t xml:space="preserve">🥇 Maputo Centro - Matola</t>
  </si>
  <si>
    <t xml:space="preserve">🥈 Maputo Centro - Machava</t>
  </si>
  <si>
    <t xml:space="preserve">🥉 Machava - Marracuene</t>
  </si>
  <si>
    <t xml:space="preserve">4️⃣ Maputo Centro - KaMavota</t>
  </si>
  <si>
    <t xml:space="preserve">5️⃣ Matola - Boane</t>
  </si>
  <si>
    <t xml:space="preserve">⚠️ BOTTOM PERFORMERS — Revenue May 2026</t>
  </si>
  <si>
    <t xml:space="preserve">⚠️ Machava - Marracuene</t>
  </si>
  <si>
    <t xml:space="preserve">🔻 Maputo Centro - KaMavota</t>
  </si>
  <si>
    <t xml:space="preserve">🔻 Matola - Boane</t>
  </si>
  <si>
    <t xml:space="preserve">📉 BIGGEST MoM DECLINE (May vs Apr)</t>
  </si>
  <si>
    <t xml:space="preserve">⚠️ Maputo Centro - KaMavota</t>
  </si>
  <si>
    <t xml:space="preserve">🔻 Maputo Centro - Machava</t>
  </si>
  <si>
    <t xml:space="preserve">🔻 Machava - Marracuene</t>
  </si>
  <si>
    <t xml:space="preserve">🚀 BIGGEST MoM GROWTH (May vs Apr)</t>
  </si>
  <si>
    <t xml:space="preserve">🥈 Matola - Boane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</si>
</sst>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MZN&quot;"/>
    <numFmt numFmtId="166" formatCode="#,##0"/>
    <numFmt numFmtId="167" formatCode="0.0%"/>
    <numFmt numFmtId="168" formatCode="dd\-mmm"/>
    <numFmt numFmtId="169" formatCode="\+0.0%;\-0.0%;\-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8B949E"/>
      <name val="Arial"/>
      <family val="0"/>
      <charset val="1"/>
    </font>
    <font>
      <b val="true"/>
      <sz val="16"/>
      <color rgb="FFF7941D"/>
      <name val="Arial"/>
      <family val="0"/>
      <charset val="1"/>
    </font>
    <font>
      <b val="true"/>
      <sz val="16"/>
      <color rgb="FF00A8E8"/>
      <name val="Arial"/>
      <family val="0"/>
      <charset val="1"/>
    </font>
    <font>
      <b val="true"/>
      <sz val="16"/>
      <color rgb="FF39D353"/>
      <name val="Arial"/>
      <family val="0"/>
      <charset val="1"/>
    </font>
    <font>
      <b val="true"/>
      <sz val="16"/>
      <color rgb="FFFFD700"/>
      <name val="Arial"/>
      <family val="0"/>
      <charset val="1"/>
    </font>
    <font>
      <i val="true"/>
      <sz val="8"/>
      <color rgb="FF8B949E"/>
      <name val="Arial"/>
      <family val="0"/>
      <charset val="1"/>
    </font>
    <font>
      <b val="true"/>
      <sz val="12"/>
      <color rgb="FFF7941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7941D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00A8E8"/>
      <name val="Arial"/>
      <family val="0"/>
      <charset val="1"/>
    </font>
    <font>
      <sz val="11"/>
      <color rgb="FF0D1117"/>
      <name val="Cambria"/>
      <family val="0"/>
      <charset val="1"/>
    </font>
    <font>
      <b val="true"/>
      <sz val="12"/>
      <color rgb="FF00A8E8"/>
      <name val="Arial"/>
      <family val="0"/>
      <charset val="1"/>
    </font>
    <font>
      <b val="true"/>
      <sz val="12"/>
      <color rgb="FFFFD700"/>
      <name val="Arial"/>
      <family val="0"/>
      <charset val="1"/>
    </font>
    <font>
      <b val="true"/>
      <sz val="10"/>
      <color rgb="FF39D353"/>
      <name val="Arial"/>
      <family val="0"/>
      <charset val="1"/>
    </font>
    <font>
      <b val="true"/>
      <sz val="10"/>
      <color rgb="FF00BFA5"/>
      <name val="Arial"/>
      <family val="0"/>
      <charset val="1"/>
    </font>
    <font>
      <b val="true"/>
      <sz val="10"/>
      <color rgb="FF00A8E8"/>
      <name val="Arial"/>
      <family val="0"/>
      <charset val="1"/>
    </font>
    <font>
      <b val="true"/>
      <sz val="10"/>
      <color rgb="FF7B61FF"/>
      <name val="Arial"/>
      <family val="0"/>
      <charset val="1"/>
    </font>
    <font>
      <b val="true"/>
      <sz val="12"/>
      <color rgb="FF39D353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10"/>
      <color rgb="FF39D353"/>
      <name val="Arial"/>
      <family val="0"/>
      <charset val="1"/>
    </font>
    <font>
      <sz val="10"/>
      <color rgb="FF8B949E"/>
      <name val="Arial"/>
      <family val="0"/>
      <charset val="1"/>
    </font>
    <font>
      <sz val="10"/>
      <color rgb="FFF7941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E05252"/>
      <name val="Arial"/>
      <family val="0"/>
      <charset val="1"/>
    </font>
    <font>
      <b val="true"/>
      <sz val="12"/>
      <color rgb="FFE05252"/>
      <name val="Arial"/>
      <family val="0"/>
      <charset val="1"/>
    </font>
    <font>
      <b val="true"/>
      <sz val="10"/>
      <color rgb="FFE05252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161B22"/>
        <bgColor rgb="FF1C2128"/>
      </patternFill>
    </fill>
    <fill>
      <patternFill patternType="solid">
        <fgColor rgb="FFF7941D"/>
        <bgColor rgb="FFFF8080"/>
      </patternFill>
    </fill>
    <fill>
      <patternFill patternType="solid">
        <fgColor rgb="FF00A8E8"/>
        <bgColor rgb="FF00BFA5"/>
      </patternFill>
    </fill>
    <fill>
      <patternFill patternType="solid">
        <fgColor rgb="FF39D353"/>
        <bgColor rgb="FF00BFA5"/>
      </patternFill>
    </fill>
    <fill>
      <patternFill patternType="solid">
        <fgColor rgb="FFFFD700"/>
        <bgColor rgb="FFFFFF00"/>
      </patternFill>
    </fill>
    <fill>
      <patternFill patternType="solid">
        <fgColor rgb="FF21262D"/>
        <bgColor rgb="FF1C2128"/>
      </patternFill>
    </fill>
    <fill>
      <patternFill patternType="solid">
        <fgColor rgb="FF1C2128"/>
        <bgColor rgb="FF21262D"/>
      </patternFill>
    </fill>
    <fill>
      <patternFill patternType="solid">
        <fgColor rgb="FF1C3A2D"/>
        <bgColor rgb="FF30363D"/>
      </patternFill>
    </fill>
    <fill>
      <patternFill patternType="solid">
        <fgColor rgb="FF1C2A3A"/>
        <bgColor rgb="FF21262D"/>
      </patternFill>
    </fill>
    <fill>
      <patternFill patternType="solid">
        <fgColor rgb="FF2A1C1C"/>
        <bgColor rgb="FF1C212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 diagonalUp="false" diagonalDown="false">
      <left/>
      <right/>
      <top/>
      <bottom style="thin">
        <color rgb="FF3036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117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2A1C1C"/>
      <rgbColor rgb="FFFF8080"/>
      <rgbColor rgb="FF0066CC"/>
      <rgbColor rgb="FFD9D9D9"/>
      <rgbColor rgb="FF161B22"/>
      <rgbColor rgb="FFFF00FF"/>
      <rgbColor rgb="FFFFFF00"/>
      <rgbColor rgb="FF00FFFF"/>
      <rgbColor rgb="FF800080"/>
      <rgbColor rgb="FF800000"/>
      <rgbColor rgb="FF008080"/>
      <rgbColor rgb="FF0000FF"/>
      <rgbColor rgb="FF00A8E8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00BFA5"/>
      <rgbColor rgb="FF99CC00"/>
      <rgbColor rgb="FFFFD700"/>
      <rgbColor rgb="FFF7941D"/>
      <rgbColor rgb="FFE05252"/>
      <rgbColor rgb="FF7B61FF"/>
      <rgbColor rgb="FF8B949E"/>
      <rgbColor rgb="FF1C2A3A"/>
      <rgbColor rgb="FF39D353"/>
      <rgbColor rgb="FF1C2128"/>
      <rgbColor rgb="FF1C3A2D"/>
      <rgbColor rgb="FF993300"/>
      <rgbColor rgb="FF993366"/>
      <rgbColor rgb="FF21262D"/>
      <rgbColor rgb="FF3036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Revenue (MZN)  —  Mar · Apr · May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'📈 Daily Trends'!C2</c:f>
              <c:strCache>
                <c:ptCount val="1"/>
                <c:pt idx="0">
                  <c:v>Revenue (MZN)</c:v>
                </c:pt>
              </c:strCache>
            </c:strRef>
          </c:tx>
          <c:spPr>
            <a:solidFill>
              <a:srgbClr val="f7941d"/>
            </a:solidFill>
            <a:ln w="21960">
              <a:solidFill>
                <a:srgbClr val="f7941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Daily Trends'!$H$3:$H$94</c:f>
              <c:strCache>
                <c:ptCount val="92"/>
                <c:pt idx="0">
                  <c:v>01-Mar</c:v>
                </c:pt>
                <c:pt idx="1">
                  <c:v>02-Mar</c:v>
                </c:pt>
                <c:pt idx="2">
                  <c:v>03-Mar</c:v>
                </c:pt>
                <c:pt idx="3">
                  <c:v>04-Mar</c:v>
                </c:pt>
                <c:pt idx="4">
                  <c:v>05-Mar</c:v>
                </c:pt>
                <c:pt idx="5">
                  <c:v>06-Mar</c:v>
                </c:pt>
                <c:pt idx="6">
                  <c:v>07-Mar</c:v>
                </c:pt>
                <c:pt idx="7">
                  <c:v>08-Mar</c:v>
                </c:pt>
                <c:pt idx="8">
                  <c:v>09-Mar</c:v>
                </c:pt>
                <c:pt idx="9">
                  <c:v>10-Mar</c:v>
                </c:pt>
                <c:pt idx="10">
                  <c:v>11-Mar</c:v>
                </c:pt>
                <c:pt idx="11">
                  <c:v>12-Mar</c:v>
                </c:pt>
                <c:pt idx="12">
                  <c:v>13-Mar</c:v>
                </c:pt>
                <c:pt idx="13">
                  <c:v>14-Mar</c:v>
                </c:pt>
                <c:pt idx="14">
                  <c:v>15-Mar</c:v>
                </c:pt>
                <c:pt idx="15">
                  <c:v>16-Mar</c:v>
                </c:pt>
                <c:pt idx="16">
                  <c:v>17-Mar</c:v>
                </c:pt>
                <c:pt idx="17">
                  <c:v>18-Mar</c:v>
                </c:pt>
                <c:pt idx="18">
                  <c:v>19-Mar</c:v>
                </c:pt>
                <c:pt idx="19">
                  <c:v>20-Mar</c:v>
                </c:pt>
                <c:pt idx="20">
                  <c:v>21-Mar</c:v>
                </c:pt>
                <c:pt idx="21">
                  <c:v>22-Mar</c:v>
                </c:pt>
                <c:pt idx="22">
                  <c:v>23-Mar</c:v>
                </c:pt>
                <c:pt idx="23">
                  <c:v>24-Mar</c:v>
                </c:pt>
                <c:pt idx="24">
                  <c:v>25-Mar</c:v>
                </c:pt>
                <c:pt idx="25">
                  <c:v>26-Mar</c:v>
                </c:pt>
                <c:pt idx="26">
                  <c:v>27-Mar</c:v>
                </c:pt>
                <c:pt idx="27">
                  <c:v>28-Mar</c:v>
                </c:pt>
                <c:pt idx="28">
                  <c:v>29-Mar</c:v>
                </c:pt>
                <c:pt idx="29">
                  <c:v>30-Mar</c:v>
                </c:pt>
                <c:pt idx="30">
                  <c:v>31-Mar</c:v>
                </c:pt>
                <c:pt idx="31">
                  <c:v>01-Apr</c:v>
                </c:pt>
                <c:pt idx="32">
                  <c:v>02-Apr</c:v>
                </c:pt>
                <c:pt idx="33">
                  <c:v>03-Apr</c:v>
                </c:pt>
                <c:pt idx="34">
                  <c:v>04-Apr</c:v>
                </c:pt>
                <c:pt idx="35">
                  <c:v>05-Apr</c:v>
                </c:pt>
                <c:pt idx="36">
                  <c:v>06-Apr</c:v>
                </c:pt>
                <c:pt idx="37">
                  <c:v>07-Apr</c:v>
                </c:pt>
                <c:pt idx="38">
                  <c:v>08-Apr</c:v>
                </c:pt>
                <c:pt idx="39">
                  <c:v>09-Apr</c:v>
                </c:pt>
                <c:pt idx="40">
                  <c:v>10-Apr</c:v>
                </c:pt>
                <c:pt idx="41">
                  <c:v>11-Apr</c:v>
                </c:pt>
                <c:pt idx="42">
                  <c:v>12-Apr</c:v>
                </c:pt>
                <c:pt idx="43">
                  <c:v>13-Apr</c:v>
                </c:pt>
                <c:pt idx="44">
                  <c:v>14-Apr</c:v>
                </c:pt>
                <c:pt idx="45">
                  <c:v>15-Apr</c:v>
                </c:pt>
                <c:pt idx="46">
                  <c:v>16-Apr</c:v>
                </c:pt>
                <c:pt idx="47">
                  <c:v>17-Apr</c:v>
                </c:pt>
                <c:pt idx="48">
                  <c:v>18-Apr</c:v>
                </c:pt>
                <c:pt idx="49">
                  <c:v>19-Apr</c:v>
                </c:pt>
                <c:pt idx="50">
                  <c:v>20-Apr</c:v>
                </c:pt>
                <c:pt idx="51">
                  <c:v>21-Apr</c:v>
                </c:pt>
                <c:pt idx="52">
                  <c:v>22-Apr</c:v>
                </c:pt>
                <c:pt idx="53">
                  <c:v>23-Apr</c:v>
                </c:pt>
                <c:pt idx="54">
                  <c:v>24-Apr</c:v>
                </c:pt>
                <c:pt idx="55">
                  <c:v>25-Apr</c:v>
                </c:pt>
                <c:pt idx="56">
                  <c:v>26-Apr</c:v>
                </c:pt>
                <c:pt idx="57">
                  <c:v>27-Apr</c:v>
                </c:pt>
                <c:pt idx="58">
                  <c:v>28-Apr</c:v>
                </c:pt>
                <c:pt idx="59">
                  <c:v>29-Apr</c:v>
                </c:pt>
                <c:pt idx="60">
                  <c:v>30-Apr</c:v>
                </c:pt>
                <c:pt idx="61">
                  <c:v>01-May</c:v>
                </c:pt>
                <c:pt idx="62">
                  <c:v>02-May</c:v>
                </c:pt>
                <c:pt idx="63">
                  <c:v>03-May</c:v>
                </c:pt>
                <c:pt idx="64">
                  <c:v>04-May</c:v>
                </c:pt>
                <c:pt idx="65">
                  <c:v>05-May</c:v>
                </c:pt>
                <c:pt idx="66">
                  <c:v>06-May</c:v>
                </c:pt>
                <c:pt idx="67">
                  <c:v>07-May</c:v>
                </c:pt>
                <c:pt idx="68">
                  <c:v>08-May</c:v>
                </c:pt>
                <c:pt idx="69">
                  <c:v>09-May</c:v>
                </c:pt>
                <c:pt idx="70">
                  <c:v>10-May</c:v>
                </c:pt>
                <c:pt idx="71">
                  <c:v>11-May</c:v>
                </c:pt>
                <c:pt idx="72">
                  <c:v>12-May</c:v>
                </c:pt>
                <c:pt idx="73">
                  <c:v>13-May</c:v>
                </c:pt>
                <c:pt idx="74">
                  <c:v>14-May</c:v>
                </c:pt>
                <c:pt idx="75">
                  <c:v>15-May</c:v>
                </c:pt>
                <c:pt idx="76">
                  <c:v>16-May</c:v>
                </c:pt>
                <c:pt idx="77">
                  <c:v>17-May</c:v>
                </c:pt>
                <c:pt idx="78">
                  <c:v>18-May</c:v>
                </c:pt>
                <c:pt idx="79">
                  <c:v>19-May</c:v>
                </c:pt>
                <c:pt idx="80">
                  <c:v>20-May</c:v>
                </c:pt>
                <c:pt idx="81">
                  <c:v>21-May</c:v>
                </c:pt>
                <c:pt idx="82">
                  <c:v>22-May</c:v>
                </c:pt>
                <c:pt idx="83">
                  <c:v>23-May</c:v>
                </c:pt>
                <c:pt idx="84">
                  <c:v>24-May</c:v>
                </c:pt>
                <c:pt idx="85">
                  <c:v>25-May</c:v>
                </c:pt>
                <c:pt idx="86">
                  <c:v>26-May</c:v>
                </c:pt>
                <c:pt idx="87">
                  <c:v>27-May</c:v>
                </c:pt>
                <c:pt idx="88">
                  <c:v>28-May</c:v>
                </c:pt>
                <c:pt idx="89">
                  <c:v>29-May</c:v>
                </c:pt>
                <c:pt idx="90">
                  <c:v>30-May</c:v>
                </c:pt>
                <c:pt idx="91">
                  <c:v>31-May</c:v>
                </c:pt>
              </c:strCache>
            </c:strRef>
          </c:cat>
          <c:val>
            <c:numRef>
              <c:f>'📈 Daily Trends'!$C$3:$C$94</c:f>
              <c:numCache>
                <c:formatCode>#,##0</c:formatCode>
                <c:ptCount val="92"/>
                <c:pt idx="0">
                  <c:v>457700</c:v>
                </c:pt>
                <c:pt idx="1">
                  <c:v>335800</c:v>
                </c:pt>
                <c:pt idx="2">
                  <c:v>340400</c:v>
                </c:pt>
                <c:pt idx="3">
                  <c:v>330740</c:v>
                </c:pt>
                <c:pt idx="4">
                  <c:v>270480</c:v>
                </c:pt>
                <c:pt idx="5">
                  <c:v>202400</c:v>
                </c:pt>
                <c:pt idx="6">
                  <c:v>356040</c:v>
                </c:pt>
                <c:pt idx="7">
                  <c:v>402040</c:v>
                </c:pt>
                <c:pt idx="8">
                  <c:v>571780</c:v>
                </c:pt>
                <c:pt idx="9">
                  <c:v>312800</c:v>
                </c:pt>
                <c:pt idx="10">
                  <c:v>324300</c:v>
                </c:pt>
                <c:pt idx="11">
                  <c:v>415380</c:v>
                </c:pt>
                <c:pt idx="12">
                  <c:v>146280</c:v>
                </c:pt>
                <c:pt idx="13">
                  <c:v>240580</c:v>
                </c:pt>
                <c:pt idx="14">
                  <c:v>326600</c:v>
                </c:pt>
                <c:pt idx="15">
                  <c:v>159160</c:v>
                </c:pt>
                <c:pt idx="16">
                  <c:v>365700</c:v>
                </c:pt>
                <c:pt idx="17">
                  <c:v>287960</c:v>
                </c:pt>
                <c:pt idx="18">
                  <c:v>204700</c:v>
                </c:pt>
                <c:pt idx="19">
                  <c:v>201940</c:v>
                </c:pt>
                <c:pt idx="20">
                  <c:v>443900</c:v>
                </c:pt>
                <c:pt idx="21">
                  <c:v>167900</c:v>
                </c:pt>
                <c:pt idx="22">
                  <c:v>337180</c:v>
                </c:pt>
                <c:pt idx="23">
                  <c:v>351900</c:v>
                </c:pt>
                <c:pt idx="24">
                  <c:v>416300</c:v>
                </c:pt>
                <c:pt idx="25">
                  <c:v>639400</c:v>
                </c:pt>
                <c:pt idx="26">
                  <c:v>499100</c:v>
                </c:pt>
                <c:pt idx="27">
                  <c:v>259900</c:v>
                </c:pt>
                <c:pt idx="28">
                  <c:v>406640</c:v>
                </c:pt>
                <c:pt idx="29">
                  <c:v>426880</c:v>
                </c:pt>
                <c:pt idx="30">
                  <c:v>195960</c:v>
                </c:pt>
                <c:pt idx="31">
                  <c:v>165600</c:v>
                </c:pt>
                <c:pt idx="32">
                  <c:v>471500</c:v>
                </c:pt>
                <c:pt idx="33">
                  <c:v>205160</c:v>
                </c:pt>
                <c:pt idx="34">
                  <c:v>533140</c:v>
                </c:pt>
                <c:pt idx="35">
                  <c:v>184000</c:v>
                </c:pt>
                <c:pt idx="36">
                  <c:v>374900</c:v>
                </c:pt>
                <c:pt idx="37">
                  <c:v>331660</c:v>
                </c:pt>
                <c:pt idx="38">
                  <c:v>441140</c:v>
                </c:pt>
                <c:pt idx="39">
                  <c:v>143520</c:v>
                </c:pt>
                <c:pt idx="40">
                  <c:v>549700</c:v>
                </c:pt>
                <c:pt idx="41">
                  <c:v>272320</c:v>
                </c:pt>
                <c:pt idx="42">
                  <c:v>383640</c:v>
                </c:pt>
                <c:pt idx="43">
                  <c:v>299460</c:v>
                </c:pt>
                <c:pt idx="44">
                  <c:v>420900</c:v>
                </c:pt>
                <c:pt idx="45">
                  <c:v>369380</c:v>
                </c:pt>
                <c:pt idx="46">
                  <c:v>82800</c:v>
                </c:pt>
                <c:pt idx="47">
                  <c:v>349140</c:v>
                </c:pt>
                <c:pt idx="48">
                  <c:v>398820</c:v>
                </c:pt>
                <c:pt idx="49">
                  <c:v>441600</c:v>
                </c:pt>
                <c:pt idx="50">
                  <c:v>297160</c:v>
                </c:pt>
                <c:pt idx="51">
                  <c:v>404800</c:v>
                </c:pt>
                <c:pt idx="52">
                  <c:v>176180</c:v>
                </c:pt>
                <c:pt idx="53">
                  <c:v>184000</c:v>
                </c:pt>
                <c:pt idx="54">
                  <c:v>392840</c:v>
                </c:pt>
                <c:pt idx="55">
                  <c:v>531300</c:v>
                </c:pt>
                <c:pt idx="56">
                  <c:v>416300</c:v>
                </c:pt>
                <c:pt idx="57">
                  <c:v>249780</c:v>
                </c:pt>
                <c:pt idx="58">
                  <c:v>608120</c:v>
                </c:pt>
                <c:pt idx="59">
                  <c:v>159160</c:v>
                </c:pt>
                <c:pt idx="60">
                  <c:v>251620</c:v>
                </c:pt>
                <c:pt idx="61">
                  <c:v>357880</c:v>
                </c:pt>
                <c:pt idx="62">
                  <c:v>322000</c:v>
                </c:pt>
                <c:pt idx="63">
                  <c:v>171580</c:v>
                </c:pt>
                <c:pt idx="64">
                  <c:v>305440</c:v>
                </c:pt>
                <c:pt idx="65">
                  <c:v>247480</c:v>
                </c:pt>
                <c:pt idx="66">
                  <c:v>259900</c:v>
                </c:pt>
                <c:pt idx="67">
                  <c:v>412620</c:v>
                </c:pt>
                <c:pt idx="68">
                  <c:v>358800</c:v>
                </c:pt>
                <c:pt idx="69">
                  <c:v>239200</c:v>
                </c:pt>
                <c:pt idx="70">
                  <c:v>246100</c:v>
                </c:pt>
                <c:pt idx="71">
                  <c:v>349600</c:v>
                </c:pt>
                <c:pt idx="72">
                  <c:v>391000</c:v>
                </c:pt>
                <c:pt idx="73">
                  <c:v>530840</c:v>
                </c:pt>
                <c:pt idx="74">
                  <c:v>495420</c:v>
                </c:pt>
                <c:pt idx="75">
                  <c:v>162840</c:v>
                </c:pt>
                <c:pt idx="76">
                  <c:v>514740</c:v>
                </c:pt>
                <c:pt idx="77">
                  <c:v>358800</c:v>
                </c:pt>
                <c:pt idx="78">
                  <c:v>402500</c:v>
                </c:pt>
                <c:pt idx="79">
                  <c:v>316480</c:v>
                </c:pt>
                <c:pt idx="80">
                  <c:v>333500</c:v>
                </c:pt>
                <c:pt idx="81">
                  <c:v>260820</c:v>
                </c:pt>
                <c:pt idx="82">
                  <c:v>247480</c:v>
                </c:pt>
                <c:pt idx="83">
                  <c:v>394680</c:v>
                </c:pt>
                <c:pt idx="84">
                  <c:v>333040</c:v>
                </c:pt>
                <c:pt idx="85">
                  <c:v>307740</c:v>
                </c:pt>
                <c:pt idx="86">
                  <c:v>44620</c:v>
                </c:pt>
                <c:pt idx="87">
                  <c:v>103500</c:v>
                </c:pt>
                <c:pt idx="88">
                  <c:v>255760</c:v>
                </c:pt>
                <c:pt idx="89">
                  <c:v>217120</c:v>
                </c:pt>
                <c:pt idx="90">
                  <c:v>213900</c:v>
                </c:pt>
                <c:pt idx="91">
                  <c:v>454020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122060"/>
        <c:axId val="56596923"/>
      </c:lineChart>
      <c:catAx>
        <c:axId val="14122060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96923"/>
        <c:crosses val="autoZero"/>
        <c:auto val="1"/>
        <c:lblAlgn val="ctr"/>
        <c:lblOffset val="100"/>
        <c:noMultiLvlLbl val="0"/>
      </c:catAx>
      <c:valAx>
        <c:axId val="565969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(MZN)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220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Trips  —  Mar · Apr · May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'📈 Daily Trends'!D2</c:f>
              <c:strCache>
                <c:ptCount val="1"/>
                <c:pt idx="0">
                  <c:v>Trips</c:v>
                </c:pt>
              </c:strCache>
            </c:strRef>
          </c:tx>
          <c:spPr>
            <a:solidFill>
              <a:srgbClr val="00a8e8"/>
            </a:solidFill>
            <a:ln w="21960">
              <a:solidFill>
                <a:srgbClr val="00a8e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Daily Trends'!$H$3:$H$94</c:f>
              <c:strCache>
                <c:ptCount val="92"/>
                <c:pt idx="0">
                  <c:v>01-Mar</c:v>
                </c:pt>
                <c:pt idx="1">
                  <c:v>02-Mar</c:v>
                </c:pt>
                <c:pt idx="2">
                  <c:v>03-Mar</c:v>
                </c:pt>
                <c:pt idx="3">
                  <c:v>04-Mar</c:v>
                </c:pt>
                <c:pt idx="4">
                  <c:v>05-Mar</c:v>
                </c:pt>
                <c:pt idx="5">
                  <c:v>06-Mar</c:v>
                </c:pt>
                <c:pt idx="6">
                  <c:v>07-Mar</c:v>
                </c:pt>
                <c:pt idx="7">
                  <c:v>08-Mar</c:v>
                </c:pt>
                <c:pt idx="8">
                  <c:v>09-Mar</c:v>
                </c:pt>
                <c:pt idx="9">
                  <c:v>10-Mar</c:v>
                </c:pt>
                <c:pt idx="10">
                  <c:v>11-Mar</c:v>
                </c:pt>
                <c:pt idx="11">
                  <c:v>12-Mar</c:v>
                </c:pt>
                <c:pt idx="12">
                  <c:v>13-Mar</c:v>
                </c:pt>
                <c:pt idx="13">
                  <c:v>14-Mar</c:v>
                </c:pt>
                <c:pt idx="14">
                  <c:v>15-Mar</c:v>
                </c:pt>
                <c:pt idx="15">
                  <c:v>16-Mar</c:v>
                </c:pt>
                <c:pt idx="16">
                  <c:v>17-Mar</c:v>
                </c:pt>
                <c:pt idx="17">
                  <c:v>18-Mar</c:v>
                </c:pt>
                <c:pt idx="18">
                  <c:v>19-Mar</c:v>
                </c:pt>
                <c:pt idx="19">
                  <c:v>20-Mar</c:v>
                </c:pt>
                <c:pt idx="20">
                  <c:v>21-Mar</c:v>
                </c:pt>
                <c:pt idx="21">
                  <c:v>22-Mar</c:v>
                </c:pt>
                <c:pt idx="22">
                  <c:v>23-Mar</c:v>
                </c:pt>
                <c:pt idx="23">
                  <c:v>24-Mar</c:v>
                </c:pt>
                <c:pt idx="24">
                  <c:v>25-Mar</c:v>
                </c:pt>
                <c:pt idx="25">
                  <c:v>26-Mar</c:v>
                </c:pt>
                <c:pt idx="26">
                  <c:v>27-Mar</c:v>
                </c:pt>
                <c:pt idx="27">
                  <c:v>28-Mar</c:v>
                </c:pt>
                <c:pt idx="28">
                  <c:v>29-Mar</c:v>
                </c:pt>
                <c:pt idx="29">
                  <c:v>30-Mar</c:v>
                </c:pt>
                <c:pt idx="30">
                  <c:v>31-Mar</c:v>
                </c:pt>
                <c:pt idx="31">
                  <c:v>01-Apr</c:v>
                </c:pt>
                <c:pt idx="32">
                  <c:v>02-Apr</c:v>
                </c:pt>
                <c:pt idx="33">
                  <c:v>03-Apr</c:v>
                </c:pt>
                <c:pt idx="34">
                  <c:v>04-Apr</c:v>
                </c:pt>
                <c:pt idx="35">
                  <c:v>05-Apr</c:v>
                </c:pt>
                <c:pt idx="36">
                  <c:v>06-Apr</c:v>
                </c:pt>
                <c:pt idx="37">
                  <c:v>07-Apr</c:v>
                </c:pt>
                <c:pt idx="38">
                  <c:v>08-Apr</c:v>
                </c:pt>
                <c:pt idx="39">
                  <c:v>09-Apr</c:v>
                </c:pt>
                <c:pt idx="40">
                  <c:v>10-Apr</c:v>
                </c:pt>
                <c:pt idx="41">
                  <c:v>11-Apr</c:v>
                </c:pt>
                <c:pt idx="42">
                  <c:v>12-Apr</c:v>
                </c:pt>
                <c:pt idx="43">
                  <c:v>13-Apr</c:v>
                </c:pt>
                <c:pt idx="44">
                  <c:v>14-Apr</c:v>
                </c:pt>
                <c:pt idx="45">
                  <c:v>15-Apr</c:v>
                </c:pt>
                <c:pt idx="46">
                  <c:v>16-Apr</c:v>
                </c:pt>
                <c:pt idx="47">
                  <c:v>17-Apr</c:v>
                </c:pt>
                <c:pt idx="48">
                  <c:v>18-Apr</c:v>
                </c:pt>
                <c:pt idx="49">
                  <c:v>19-Apr</c:v>
                </c:pt>
                <c:pt idx="50">
                  <c:v>20-Apr</c:v>
                </c:pt>
                <c:pt idx="51">
                  <c:v>21-Apr</c:v>
                </c:pt>
                <c:pt idx="52">
                  <c:v>22-Apr</c:v>
                </c:pt>
                <c:pt idx="53">
                  <c:v>23-Apr</c:v>
                </c:pt>
                <c:pt idx="54">
                  <c:v>24-Apr</c:v>
                </c:pt>
                <c:pt idx="55">
                  <c:v>25-Apr</c:v>
                </c:pt>
                <c:pt idx="56">
                  <c:v>26-Apr</c:v>
                </c:pt>
                <c:pt idx="57">
                  <c:v>27-Apr</c:v>
                </c:pt>
                <c:pt idx="58">
                  <c:v>28-Apr</c:v>
                </c:pt>
                <c:pt idx="59">
                  <c:v>29-Apr</c:v>
                </c:pt>
                <c:pt idx="60">
                  <c:v>30-Apr</c:v>
                </c:pt>
                <c:pt idx="61">
                  <c:v>01-May</c:v>
                </c:pt>
                <c:pt idx="62">
                  <c:v>02-May</c:v>
                </c:pt>
                <c:pt idx="63">
                  <c:v>03-May</c:v>
                </c:pt>
                <c:pt idx="64">
                  <c:v>04-May</c:v>
                </c:pt>
                <c:pt idx="65">
                  <c:v>05-May</c:v>
                </c:pt>
                <c:pt idx="66">
                  <c:v>06-May</c:v>
                </c:pt>
                <c:pt idx="67">
                  <c:v>07-May</c:v>
                </c:pt>
                <c:pt idx="68">
                  <c:v>08-May</c:v>
                </c:pt>
                <c:pt idx="69">
                  <c:v>09-May</c:v>
                </c:pt>
                <c:pt idx="70">
                  <c:v>10-May</c:v>
                </c:pt>
                <c:pt idx="71">
                  <c:v>11-May</c:v>
                </c:pt>
                <c:pt idx="72">
                  <c:v>12-May</c:v>
                </c:pt>
                <c:pt idx="73">
                  <c:v>13-May</c:v>
                </c:pt>
                <c:pt idx="74">
                  <c:v>14-May</c:v>
                </c:pt>
                <c:pt idx="75">
                  <c:v>15-May</c:v>
                </c:pt>
                <c:pt idx="76">
                  <c:v>16-May</c:v>
                </c:pt>
                <c:pt idx="77">
                  <c:v>17-May</c:v>
                </c:pt>
                <c:pt idx="78">
                  <c:v>18-May</c:v>
                </c:pt>
                <c:pt idx="79">
                  <c:v>19-May</c:v>
                </c:pt>
                <c:pt idx="80">
                  <c:v>20-May</c:v>
                </c:pt>
                <c:pt idx="81">
                  <c:v>21-May</c:v>
                </c:pt>
                <c:pt idx="82">
                  <c:v>22-May</c:v>
                </c:pt>
                <c:pt idx="83">
                  <c:v>23-May</c:v>
                </c:pt>
                <c:pt idx="84">
                  <c:v>24-May</c:v>
                </c:pt>
                <c:pt idx="85">
                  <c:v>25-May</c:v>
                </c:pt>
                <c:pt idx="86">
                  <c:v>26-May</c:v>
                </c:pt>
                <c:pt idx="87">
                  <c:v>27-May</c:v>
                </c:pt>
                <c:pt idx="88">
                  <c:v>28-May</c:v>
                </c:pt>
                <c:pt idx="89">
                  <c:v>29-May</c:v>
                </c:pt>
                <c:pt idx="90">
                  <c:v>30-May</c:v>
                </c:pt>
                <c:pt idx="91">
                  <c:v>31-May</c:v>
                </c:pt>
              </c:strCache>
            </c:strRef>
          </c:cat>
          <c:val>
            <c:numRef>
              <c:f>'📈 Daily Trends'!$D$3:$D$94</c:f>
              <c:numCache>
                <c:formatCode>#,##0</c:formatCode>
                <c:ptCount val="92"/>
                <c:pt idx="0">
                  <c:v>6164</c:v>
                </c:pt>
                <c:pt idx="1">
                  <c:v>7360</c:v>
                </c:pt>
                <c:pt idx="2">
                  <c:v>6900</c:v>
                </c:pt>
                <c:pt idx="3">
                  <c:v>8280</c:v>
                </c:pt>
                <c:pt idx="4">
                  <c:v>5796</c:v>
                </c:pt>
                <c:pt idx="5">
                  <c:v>4784</c:v>
                </c:pt>
                <c:pt idx="6">
                  <c:v>5244</c:v>
                </c:pt>
                <c:pt idx="7">
                  <c:v>6532</c:v>
                </c:pt>
                <c:pt idx="8">
                  <c:v>4692</c:v>
                </c:pt>
                <c:pt idx="9">
                  <c:v>4416</c:v>
                </c:pt>
                <c:pt idx="10">
                  <c:v>6256</c:v>
                </c:pt>
                <c:pt idx="11">
                  <c:v>5796</c:v>
                </c:pt>
                <c:pt idx="12">
                  <c:v>5244</c:v>
                </c:pt>
                <c:pt idx="13">
                  <c:v>4048</c:v>
                </c:pt>
                <c:pt idx="14">
                  <c:v>5980</c:v>
                </c:pt>
                <c:pt idx="15">
                  <c:v>5704</c:v>
                </c:pt>
                <c:pt idx="16">
                  <c:v>4784</c:v>
                </c:pt>
                <c:pt idx="17">
                  <c:v>3496</c:v>
                </c:pt>
                <c:pt idx="18">
                  <c:v>6624</c:v>
                </c:pt>
                <c:pt idx="19">
                  <c:v>4232</c:v>
                </c:pt>
                <c:pt idx="20">
                  <c:v>5612</c:v>
                </c:pt>
                <c:pt idx="21">
                  <c:v>3036</c:v>
                </c:pt>
                <c:pt idx="22">
                  <c:v>6808</c:v>
                </c:pt>
                <c:pt idx="23">
                  <c:v>3864</c:v>
                </c:pt>
                <c:pt idx="24">
                  <c:v>7176</c:v>
                </c:pt>
                <c:pt idx="25">
                  <c:v>10856</c:v>
                </c:pt>
                <c:pt idx="26">
                  <c:v>6164</c:v>
                </c:pt>
                <c:pt idx="27">
                  <c:v>4232</c:v>
                </c:pt>
                <c:pt idx="28">
                  <c:v>8004</c:v>
                </c:pt>
                <c:pt idx="29">
                  <c:v>5704</c:v>
                </c:pt>
                <c:pt idx="30">
                  <c:v>7268</c:v>
                </c:pt>
                <c:pt idx="31">
                  <c:v>5520</c:v>
                </c:pt>
                <c:pt idx="32">
                  <c:v>9200</c:v>
                </c:pt>
                <c:pt idx="33">
                  <c:v>4968</c:v>
                </c:pt>
                <c:pt idx="34">
                  <c:v>5060</c:v>
                </c:pt>
                <c:pt idx="35">
                  <c:v>4508</c:v>
                </c:pt>
                <c:pt idx="36">
                  <c:v>7268</c:v>
                </c:pt>
                <c:pt idx="37">
                  <c:v>4508</c:v>
                </c:pt>
                <c:pt idx="38">
                  <c:v>5428</c:v>
                </c:pt>
                <c:pt idx="39">
                  <c:v>2484</c:v>
                </c:pt>
                <c:pt idx="40">
                  <c:v>5704</c:v>
                </c:pt>
                <c:pt idx="41">
                  <c:v>4140</c:v>
                </c:pt>
                <c:pt idx="42">
                  <c:v>5704</c:v>
                </c:pt>
                <c:pt idx="43">
                  <c:v>5336</c:v>
                </c:pt>
                <c:pt idx="44">
                  <c:v>5152</c:v>
                </c:pt>
                <c:pt idx="45">
                  <c:v>8464</c:v>
                </c:pt>
                <c:pt idx="46">
                  <c:v>3956</c:v>
                </c:pt>
                <c:pt idx="47">
                  <c:v>3956</c:v>
                </c:pt>
                <c:pt idx="48">
                  <c:v>5704</c:v>
                </c:pt>
                <c:pt idx="49">
                  <c:v>9016</c:v>
                </c:pt>
                <c:pt idx="50">
                  <c:v>7268</c:v>
                </c:pt>
                <c:pt idx="51">
                  <c:v>4508</c:v>
                </c:pt>
                <c:pt idx="52">
                  <c:v>3404</c:v>
                </c:pt>
                <c:pt idx="53">
                  <c:v>4048</c:v>
                </c:pt>
                <c:pt idx="54">
                  <c:v>7452</c:v>
                </c:pt>
                <c:pt idx="55">
                  <c:v>8648</c:v>
                </c:pt>
                <c:pt idx="56">
                  <c:v>2760</c:v>
                </c:pt>
                <c:pt idx="57">
                  <c:v>7544</c:v>
                </c:pt>
                <c:pt idx="58">
                  <c:v>7084</c:v>
                </c:pt>
                <c:pt idx="59">
                  <c:v>4048</c:v>
                </c:pt>
                <c:pt idx="60">
                  <c:v>4876</c:v>
                </c:pt>
                <c:pt idx="61">
                  <c:v>8004</c:v>
                </c:pt>
                <c:pt idx="62">
                  <c:v>3772</c:v>
                </c:pt>
                <c:pt idx="63">
                  <c:v>6992</c:v>
                </c:pt>
                <c:pt idx="64">
                  <c:v>2024</c:v>
                </c:pt>
                <c:pt idx="65">
                  <c:v>3680</c:v>
                </c:pt>
                <c:pt idx="66">
                  <c:v>6624</c:v>
                </c:pt>
                <c:pt idx="67">
                  <c:v>4968</c:v>
                </c:pt>
                <c:pt idx="68">
                  <c:v>8648</c:v>
                </c:pt>
                <c:pt idx="69">
                  <c:v>7176</c:v>
                </c:pt>
                <c:pt idx="70">
                  <c:v>4600</c:v>
                </c:pt>
                <c:pt idx="71">
                  <c:v>5152</c:v>
                </c:pt>
                <c:pt idx="72">
                  <c:v>6624</c:v>
                </c:pt>
                <c:pt idx="73">
                  <c:v>5796</c:v>
                </c:pt>
                <c:pt idx="74">
                  <c:v>6808</c:v>
                </c:pt>
                <c:pt idx="75">
                  <c:v>5428</c:v>
                </c:pt>
                <c:pt idx="76">
                  <c:v>6808</c:v>
                </c:pt>
                <c:pt idx="77">
                  <c:v>2484</c:v>
                </c:pt>
                <c:pt idx="78">
                  <c:v>7176</c:v>
                </c:pt>
                <c:pt idx="79">
                  <c:v>6532</c:v>
                </c:pt>
                <c:pt idx="80">
                  <c:v>4416</c:v>
                </c:pt>
                <c:pt idx="81">
                  <c:v>5244</c:v>
                </c:pt>
                <c:pt idx="82">
                  <c:v>5060</c:v>
                </c:pt>
                <c:pt idx="83">
                  <c:v>5244</c:v>
                </c:pt>
                <c:pt idx="84">
                  <c:v>9936</c:v>
                </c:pt>
                <c:pt idx="85">
                  <c:v>2668</c:v>
                </c:pt>
                <c:pt idx="86">
                  <c:v>4140</c:v>
                </c:pt>
                <c:pt idx="87">
                  <c:v>3220</c:v>
                </c:pt>
                <c:pt idx="88">
                  <c:v>9568</c:v>
                </c:pt>
                <c:pt idx="89">
                  <c:v>3680</c:v>
                </c:pt>
                <c:pt idx="90">
                  <c:v>3496</c:v>
                </c:pt>
                <c:pt idx="91">
                  <c:v>5244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480694"/>
        <c:axId val="30948838"/>
      </c:lineChart>
      <c:catAx>
        <c:axId val="19480694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48838"/>
        <c:crosses val="autoZero"/>
        <c:auto val="1"/>
        <c:lblAlgn val="ctr"/>
        <c:lblOffset val="100"/>
        <c:noMultiLvlLbl val="0"/>
      </c:catAx>
      <c:valAx>
        <c:axId val="309488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Trips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806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Passengers  —  Mar · Apr · May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'📈 Daily Trends'!E2</c:f>
              <c:strCache>
                <c:ptCount val="1"/>
                <c:pt idx="0">
                  <c:v>Passengers</c:v>
                </c:pt>
              </c:strCache>
            </c:strRef>
          </c:tx>
          <c:spPr>
            <a:solidFill>
              <a:srgbClr val="39d353"/>
            </a:solidFill>
            <a:ln w="21960">
              <a:solidFill>
                <a:srgbClr val="39d35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Daily Trends'!$H$3:$H$94</c:f>
              <c:strCache>
                <c:ptCount val="92"/>
                <c:pt idx="0">
                  <c:v>01-Mar</c:v>
                </c:pt>
                <c:pt idx="1">
                  <c:v>02-Mar</c:v>
                </c:pt>
                <c:pt idx="2">
                  <c:v>03-Mar</c:v>
                </c:pt>
                <c:pt idx="3">
                  <c:v>04-Mar</c:v>
                </c:pt>
                <c:pt idx="4">
                  <c:v>05-Mar</c:v>
                </c:pt>
                <c:pt idx="5">
                  <c:v>06-Mar</c:v>
                </c:pt>
                <c:pt idx="6">
                  <c:v>07-Mar</c:v>
                </c:pt>
                <c:pt idx="7">
                  <c:v>08-Mar</c:v>
                </c:pt>
                <c:pt idx="8">
                  <c:v>09-Mar</c:v>
                </c:pt>
                <c:pt idx="9">
                  <c:v>10-Mar</c:v>
                </c:pt>
                <c:pt idx="10">
                  <c:v>11-Mar</c:v>
                </c:pt>
                <c:pt idx="11">
                  <c:v>12-Mar</c:v>
                </c:pt>
                <c:pt idx="12">
                  <c:v>13-Mar</c:v>
                </c:pt>
                <c:pt idx="13">
                  <c:v>14-Mar</c:v>
                </c:pt>
                <c:pt idx="14">
                  <c:v>15-Mar</c:v>
                </c:pt>
                <c:pt idx="15">
                  <c:v>16-Mar</c:v>
                </c:pt>
                <c:pt idx="16">
                  <c:v>17-Mar</c:v>
                </c:pt>
                <c:pt idx="17">
                  <c:v>18-Mar</c:v>
                </c:pt>
                <c:pt idx="18">
                  <c:v>19-Mar</c:v>
                </c:pt>
                <c:pt idx="19">
                  <c:v>20-Mar</c:v>
                </c:pt>
                <c:pt idx="20">
                  <c:v>21-Mar</c:v>
                </c:pt>
                <c:pt idx="21">
                  <c:v>22-Mar</c:v>
                </c:pt>
                <c:pt idx="22">
                  <c:v>23-Mar</c:v>
                </c:pt>
                <c:pt idx="23">
                  <c:v>24-Mar</c:v>
                </c:pt>
                <c:pt idx="24">
                  <c:v>25-Mar</c:v>
                </c:pt>
                <c:pt idx="25">
                  <c:v>26-Mar</c:v>
                </c:pt>
                <c:pt idx="26">
                  <c:v>27-Mar</c:v>
                </c:pt>
                <c:pt idx="27">
                  <c:v>28-Mar</c:v>
                </c:pt>
                <c:pt idx="28">
                  <c:v>29-Mar</c:v>
                </c:pt>
                <c:pt idx="29">
                  <c:v>30-Mar</c:v>
                </c:pt>
                <c:pt idx="30">
                  <c:v>31-Mar</c:v>
                </c:pt>
                <c:pt idx="31">
                  <c:v>01-Apr</c:v>
                </c:pt>
                <c:pt idx="32">
                  <c:v>02-Apr</c:v>
                </c:pt>
                <c:pt idx="33">
                  <c:v>03-Apr</c:v>
                </c:pt>
                <c:pt idx="34">
                  <c:v>04-Apr</c:v>
                </c:pt>
                <c:pt idx="35">
                  <c:v>05-Apr</c:v>
                </c:pt>
                <c:pt idx="36">
                  <c:v>06-Apr</c:v>
                </c:pt>
                <c:pt idx="37">
                  <c:v>07-Apr</c:v>
                </c:pt>
                <c:pt idx="38">
                  <c:v>08-Apr</c:v>
                </c:pt>
                <c:pt idx="39">
                  <c:v>09-Apr</c:v>
                </c:pt>
                <c:pt idx="40">
                  <c:v>10-Apr</c:v>
                </c:pt>
                <c:pt idx="41">
                  <c:v>11-Apr</c:v>
                </c:pt>
                <c:pt idx="42">
                  <c:v>12-Apr</c:v>
                </c:pt>
                <c:pt idx="43">
                  <c:v>13-Apr</c:v>
                </c:pt>
                <c:pt idx="44">
                  <c:v>14-Apr</c:v>
                </c:pt>
                <c:pt idx="45">
                  <c:v>15-Apr</c:v>
                </c:pt>
                <c:pt idx="46">
                  <c:v>16-Apr</c:v>
                </c:pt>
                <c:pt idx="47">
                  <c:v>17-Apr</c:v>
                </c:pt>
                <c:pt idx="48">
                  <c:v>18-Apr</c:v>
                </c:pt>
                <c:pt idx="49">
                  <c:v>19-Apr</c:v>
                </c:pt>
                <c:pt idx="50">
                  <c:v>20-Apr</c:v>
                </c:pt>
                <c:pt idx="51">
                  <c:v>21-Apr</c:v>
                </c:pt>
                <c:pt idx="52">
                  <c:v>22-Apr</c:v>
                </c:pt>
                <c:pt idx="53">
                  <c:v>23-Apr</c:v>
                </c:pt>
                <c:pt idx="54">
                  <c:v>24-Apr</c:v>
                </c:pt>
                <c:pt idx="55">
                  <c:v>25-Apr</c:v>
                </c:pt>
                <c:pt idx="56">
                  <c:v>26-Apr</c:v>
                </c:pt>
                <c:pt idx="57">
                  <c:v>27-Apr</c:v>
                </c:pt>
                <c:pt idx="58">
                  <c:v>28-Apr</c:v>
                </c:pt>
                <c:pt idx="59">
                  <c:v>29-Apr</c:v>
                </c:pt>
                <c:pt idx="60">
                  <c:v>30-Apr</c:v>
                </c:pt>
                <c:pt idx="61">
                  <c:v>01-May</c:v>
                </c:pt>
                <c:pt idx="62">
                  <c:v>02-May</c:v>
                </c:pt>
                <c:pt idx="63">
                  <c:v>03-May</c:v>
                </c:pt>
                <c:pt idx="64">
                  <c:v>04-May</c:v>
                </c:pt>
                <c:pt idx="65">
                  <c:v>05-May</c:v>
                </c:pt>
                <c:pt idx="66">
                  <c:v>06-May</c:v>
                </c:pt>
                <c:pt idx="67">
                  <c:v>07-May</c:v>
                </c:pt>
                <c:pt idx="68">
                  <c:v>08-May</c:v>
                </c:pt>
                <c:pt idx="69">
                  <c:v>09-May</c:v>
                </c:pt>
                <c:pt idx="70">
                  <c:v>10-May</c:v>
                </c:pt>
                <c:pt idx="71">
                  <c:v>11-May</c:v>
                </c:pt>
                <c:pt idx="72">
                  <c:v>12-May</c:v>
                </c:pt>
                <c:pt idx="73">
                  <c:v>13-May</c:v>
                </c:pt>
                <c:pt idx="74">
                  <c:v>14-May</c:v>
                </c:pt>
                <c:pt idx="75">
                  <c:v>15-May</c:v>
                </c:pt>
                <c:pt idx="76">
                  <c:v>16-May</c:v>
                </c:pt>
                <c:pt idx="77">
                  <c:v>17-May</c:v>
                </c:pt>
                <c:pt idx="78">
                  <c:v>18-May</c:v>
                </c:pt>
                <c:pt idx="79">
                  <c:v>19-May</c:v>
                </c:pt>
                <c:pt idx="80">
                  <c:v>20-May</c:v>
                </c:pt>
                <c:pt idx="81">
                  <c:v>21-May</c:v>
                </c:pt>
                <c:pt idx="82">
                  <c:v>22-May</c:v>
                </c:pt>
                <c:pt idx="83">
                  <c:v>23-May</c:v>
                </c:pt>
                <c:pt idx="84">
                  <c:v>24-May</c:v>
                </c:pt>
                <c:pt idx="85">
                  <c:v>25-May</c:v>
                </c:pt>
                <c:pt idx="86">
                  <c:v>26-May</c:v>
                </c:pt>
                <c:pt idx="87">
                  <c:v>27-May</c:v>
                </c:pt>
                <c:pt idx="88">
                  <c:v>28-May</c:v>
                </c:pt>
                <c:pt idx="89">
                  <c:v>29-May</c:v>
                </c:pt>
                <c:pt idx="90">
                  <c:v>30-May</c:v>
                </c:pt>
                <c:pt idx="91">
                  <c:v>31-May</c:v>
                </c:pt>
              </c:strCache>
            </c:strRef>
          </c:cat>
          <c:val>
            <c:numRef>
              <c:f>'📈 Daily Trends'!$E$3:$E$94</c:f>
              <c:numCache>
                <c:formatCode>#,##0</c:formatCode>
                <c:ptCount val="92"/>
                <c:pt idx="0">
                  <c:v>237268</c:v>
                </c:pt>
                <c:pt idx="1">
                  <c:v>154376</c:v>
                </c:pt>
                <c:pt idx="2">
                  <c:v>261924</c:v>
                </c:pt>
                <c:pt idx="3">
                  <c:v>245364</c:v>
                </c:pt>
                <c:pt idx="4">
                  <c:v>155296</c:v>
                </c:pt>
                <c:pt idx="5">
                  <c:v>152812</c:v>
                </c:pt>
                <c:pt idx="6">
                  <c:v>176732</c:v>
                </c:pt>
                <c:pt idx="7">
                  <c:v>220800</c:v>
                </c:pt>
                <c:pt idx="8">
                  <c:v>127144</c:v>
                </c:pt>
                <c:pt idx="9">
                  <c:v>132664</c:v>
                </c:pt>
                <c:pt idx="10">
                  <c:v>84640</c:v>
                </c:pt>
                <c:pt idx="11">
                  <c:v>116196</c:v>
                </c:pt>
                <c:pt idx="12">
                  <c:v>86940</c:v>
                </c:pt>
                <c:pt idx="13">
                  <c:v>51704</c:v>
                </c:pt>
                <c:pt idx="14">
                  <c:v>176548</c:v>
                </c:pt>
                <c:pt idx="15">
                  <c:v>124752</c:v>
                </c:pt>
                <c:pt idx="16">
                  <c:v>57776</c:v>
                </c:pt>
                <c:pt idx="17">
                  <c:v>116288</c:v>
                </c:pt>
                <c:pt idx="18">
                  <c:v>216752</c:v>
                </c:pt>
                <c:pt idx="19">
                  <c:v>85376</c:v>
                </c:pt>
                <c:pt idx="20">
                  <c:v>139472</c:v>
                </c:pt>
                <c:pt idx="21">
                  <c:v>77924</c:v>
                </c:pt>
                <c:pt idx="22">
                  <c:v>195868</c:v>
                </c:pt>
                <c:pt idx="23">
                  <c:v>31188</c:v>
                </c:pt>
                <c:pt idx="24">
                  <c:v>267168</c:v>
                </c:pt>
                <c:pt idx="25">
                  <c:v>420900</c:v>
                </c:pt>
                <c:pt idx="26">
                  <c:v>299276</c:v>
                </c:pt>
                <c:pt idx="27">
                  <c:v>121992</c:v>
                </c:pt>
                <c:pt idx="28">
                  <c:v>244904</c:v>
                </c:pt>
                <c:pt idx="29">
                  <c:v>71392</c:v>
                </c:pt>
                <c:pt idx="30">
                  <c:v>265512</c:v>
                </c:pt>
                <c:pt idx="31">
                  <c:v>235152</c:v>
                </c:pt>
                <c:pt idx="32">
                  <c:v>375820</c:v>
                </c:pt>
                <c:pt idx="33">
                  <c:v>182712</c:v>
                </c:pt>
                <c:pt idx="34">
                  <c:v>155572</c:v>
                </c:pt>
                <c:pt idx="35">
                  <c:v>124200</c:v>
                </c:pt>
                <c:pt idx="36">
                  <c:v>94024</c:v>
                </c:pt>
                <c:pt idx="37">
                  <c:v>168636</c:v>
                </c:pt>
                <c:pt idx="38">
                  <c:v>207828</c:v>
                </c:pt>
                <c:pt idx="39">
                  <c:v>130824</c:v>
                </c:pt>
                <c:pt idx="40">
                  <c:v>161276</c:v>
                </c:pt>
                <c:pt idx="41">
                  <c:v>82524</c:v>
                </c:pt>
                <c:pt idx="42">
                  <c:v>159252</c:v>
                </c:pt>
                <c:pt idx="43">
                  <c:v>181792</c:v>
                </c:pt>
                <c:pt idx="44">
                  <c:v>231564</c:v>
                </c:pt>
                <c:pt idx="45">
                  <c:v>143520</c:v>
                </c:pt>
                <c:pt idx="46">
                  <c:v>156400</c:v>
                </c:pt>
                <c:pt idx="47">
                  <c:v>129352</c:v>
                </c:pt>
                <c:pt idx="48">
                  <c:v>85284</c:v>
                </c:pt>
                <c:pt idx="49">
                  <c:v>110584</c:v>
                </c:pt>
                <c:pt idx="50">
                  <c:v>205068</c:v>
                </c:pt>
                <c:pt idx="51">
                  <c:v>154100</c:v>
                </c:pt>
                <c:pt idx="52">
                  <c:v>105708</c:v>
                </c:pt>
                <c:pt idx="53">
                  <c:v>61088</c:v>
                </c:pt>
                <c:pt idx="54">
                  <c:v>111872</c:v>
                </c:pt>
                <c:pt idx="55">
                  <c:v>194580</c:v>
                </c:pt>
                <c:pt idx="56">
                  <c:v>130364</c:v>
                </c:pt>
                <c:pt idx="57">
                  <c:v>225676</c:v>
                </c:pt>
                <c:pt idx="58">
                  <c:v>111320</c:v>
                </c:pt>
                <c:pt idx="59">
                  <c:v>163576</c:v>
                </c:pt>
                <c:pt idx="60">
                  <c:v>143152</c:v>
                </c:pt>
                <c:pt idx="61">
                  <c:v>281520</c:v>
                </c:pt>
                <c:pt idx="62">
                  <c:v>121256</c:v>
                </c:pt>
                <c:pt idx="63">
                  <c:v>160080</c:v>
                </c:pt>
                <c:pt idx="64">
                  <c:v>52440</c:v>
                </c:pt>
                <c:pt idx="65">
                  <c:v>109572</c:v>
                </c:pt>
                <c:pt idx="66">
                  <c:v>63020</c:v>
                </c:pt>
                <c:pt idx="67">
                  <c:v>144348</c:v>
                </c:pt>
                <c:pt idx="68">
                  <c:v>169096</c:v>
                </c:pt>
                <c:pt idx="69">
                  <c:v>110584</c:v>
                </c:pt>
                <c:pt idx="70">
                  <c:v>123372</c:v>
                </c:pt>
                <c:pt idx="71">
                  <c:v>175536</c:v>
                </c:pt>
                <c:pt idx="72">
                  <c:v>201480</c:v>
                </c:pt>
                <c:pt idx="73">
                  <c:v>144532</c:v>
                </c:pt>
                <c:pt idx="74">
                  <c:v>243800</c:v>
                </c:pt>
                <c:pt idx="75">
                  <c:v>199548</c:v>
                </c:pt>
                <c:pt idx="76">
                  <c:v>94852</c:v>
                </c:pt>
                <c:pt idx="77">
                  <c:v>95220</c:v>
                </c:pt>
                <c:pt idx="78">
                  <c:v>172316</c:v>
                </c:pt>
                <c:pt idx="79">
                  <c:v>257784</c:v>
                </c:pt>
                <c:pt idx="80">
                  <c:v>213624</c:v>
                </c:pt>
                <c:pt idx="81">
                  <c:v>125488</c:v>
                </c:pt>
                <c:pt idx="82">
                  <c:v>145728</c:v>
                </c:pt>
                <c:pt idx="83">
                  <c:v>58972</c:v>
                </c:pt>
                <c:pt idx="84">
                  <c:v>348864</c:v>
                </c:pt>
                <c:pt idx="85">
                  <c:v>65320</c:v>
                </c:pt>
                <c:pt idx="86">
                  <c:v>145084</c:v>
                </c:pt>
                <c:pt idx="87">
                  <c:v>121440</c:v>
                </c:pt>
                <c:pt idx="88">
                  <c:v>433228</c:v>
                </c:pt>
                <c:pt idx="89">
                  <c:v>52440</c:v>
                </c:pt>
                <c:pt idx="90">
                  <c:v>140760</c:v>
                </c:pt>
                <c:pt idx="91">
                  <c:v>122820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258683"/>
        <c:axId val="91586308"/>
      </c:lineChart>
      <c:catAx>
        <c:axId val="44258683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86308"/>
        <c:crosses val="autoZero"/>
        <c:auto val="1"/>
        <c:lblAlgn val="ctr"/>
        <c:lblOffset val="100"/>
        <c:noMultiLvlLbl val="0"/>
      </c:catAx>
      <c:valAx>
        <c:axId val="915863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Passengers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586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Tickets Sold  —  Mar · Apr · May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Daily Trends'!F2</c:f>
              <c:strCache>
                <c:ptCount val="1"/>
                <c:pt idx="0">
                  <c:v>Tickets Sold</c:v>
                </c:pt>
              </c:strCache>
            </c:strRef>
          </c:tx>
          <c:spPr>
            <a:solidFill>
              <a:srgbClr val="ffd700"/>
            </a:solidFill>
            <a:ln w="0">
              <a:solidFill>
                <a:srgbClr val="ffd7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Daily Trends'!$H$3:$H$94</c:f>
              <c:strCache>
                <c:ptCount val="92"/>
                <c:pt idx="0">
                  <c:v>01-Mar</c:v>
                </c:pt>
                <c:pt idx="1">
                  <c:v>02-Mar</c:v>
                </c:pt>
                <c:pt idx="2">
                  <c:v>03-Mar</c:v>
                </c:pt>
                <c:pt idx="3">
                  <c:v>04-Mar</c:v>
                </c:pt>
                <c:pt idx="4">
                  <c:v>05-Mar</c:v>
                </c:pt>
                <c:pt idx="5">
                  <c:v>06-Mar</c:v>
                </c:pt>
                <c:pt idx="6">
                  <c:v>07-Mar</c:v>
                </c:pt>
                <c:pt idx="7">
                  <c:v>08-Mar</c:v>
                </c:pt>
                <c:pt idx="8">
                  <c:v>09-Mar</c:v>
                </c:pt>
                <c:pt idx="9">
                  <c:v>10-Mar</c:v>
                </c:pt>
                <c:pt idx="10">
                  <c:v>11-Mar</c:v>
                </c:pt>
                <c:pt idx="11">
                  <c:v>12-Mar</c:v>
                </c:pt>
                <c:pt idx="12">
                  <c:v>13-Mar</c:v>
                </c:pt>
                <c:pt idx="13">
                  <c:v>14-Mar</c:v>
                </c:pt>
                <c:pt idx="14">
                  <c:v>15-Mar</c:v>
                </c:pt>
                <c:pt idx="15">
                  <c:v>16-Mar</c:v>
                </c:pt>
                <c:pt idx="16">
                  <c:v>17-Mar</c:v>
                </c:pt>
                <c:pt idx="17">
                  <c:v>18-Mar</c:v>
                </c:pt>
                <c:pt idx="18">
                  <c:v>19-Mar</c:v>
                </c:pt>
                <c:pt idx="19">
                  <c:v>20-Mar</c:v>
                </c:pt>
                <c:pt idx="20">
                  <c:v>21-Mar</c:v>
                </c:pt>
                <c:pt idx="21">
                  <c:v>22-Mar</c:v>
                </c:pt>
                <c:pt idx="22">
                  <c:v>23-Mar</c:v>
                </c:pt>
                <c:pt idx="23">
                  <c:v>24-Mar</c:v>
                </c:pt>
                <c:pt idx="24">
                  <c:v>25-Mar</c:v>
                </c:pt>
                <c:pt idx="25">
                  <c:v>26-Mar</c:v>
                </c:pt>
                <c:pt idx="26">
                  <c:v>27-Mar</c:v>
                </c:pt>
                <c:pt idx="27">
                  <c:v>28-Mar</c:v>
                </c:pt>
                <c:pt idx="28">
                  <c:v>29-Mar</c:v>
                </c:pt>
                <c:pt idx="29">
                  <c:v>30-Mar</c:v>
                </c:pt>
                <c:pt idx="30">
                  <c:v>31-Mar</c:v>
                </c:pt>
                <c:pt idx="31">
                  <c:v>01-Apr</c:v>
                </c:pt>
                <c:pt idx="32">
                  <c:v>02-Apr</c:v>
                </c:pt>
                <c:pt idx="33">
                  <c:v>03-Apr</c:v>
                </c:pt>
                <c:pt idx="34">
                  <c:v>04-Apr</c:v>
                </c:pt>
                <c:pt idx="35">
                  <c:v>05-Apr</c:v>
                </c:pt>
                <c:pt idx="36">
                  <c:v>06-Apr</c:v>
                </c:pt>
                <c:pt idx="37">
                  <c:v>07-Apr</c:v>
                </c:pt>
                <c:pt idx="38">
                  <c:v>08-Apr</c:v>
                </c:pt>
                <c:pt idx="39">
                  <c:v>09-Apr</c:v>
                </c:pt>
                <c:pt idx="40">
                  <c:v>10-Apr</c:v>
                </c:pt>
                <c:pt idx="41">
                  <c:v>11-Apr</c:v>
                </c:pt>
                <c:pt idx="42">
                  <c:v>12-Apr</c:v>
                </c:pt>
                <c:pt idx="43">
                  <c:v>13-Apr</c:v>
                </c:pt>
                <c:pt idx="44">
                  <c:v>14-Apr</c:v>
                </c:pt>
                <c:pt idx="45">
                  <c:v>15-Apr</c:v>
                </c:pt>
                <c:pt idx="46">
                  <c:v>16-Apr</c:v>
                </c:pt>
                <c:pt idx="47">
                  <c:v>17-Apr</c:v>
                </c:pt>
                <c:pt idx="48">
                  <c:v>18-Apr</c:v>
                </c:pt>
                <c:pt idx="49">
                  <c:v>19-Apr</c:v>
                </c:pt>
                <c:pt idx="50">
                  <c:v>20-Apr</c:v>
                </c:pt>
                <c:pt idx="51">
                  <c:v>21-Apr</c:v>
                </c:pt>
                <c:pt idx="52">
                  <c:v>22-Apr</c:v>
                </c:pt>
                <c:pt idx="53">
                  <c:v>23-Apr</c:v>
                </c:pt>
                <c:pt idx="54">
                  <c:v>24-Apr</c:v>
                </c:pt>
                <c:pt idx="55">
                  <c:v>25-Apr</c:v>
                </c:pt>
                <c:pt idx="56">
                  <c:v>26-Apr</c:v>
                </c:pt>
                <c:pt idx="57">
                  <c:v>27-Apr</c:v>
                </c:pt>
                <c:pt idx="58">
                  <c:v>28-Apr</c:v>
                </c:pt>
                <c:pt idx="59">
                  <c:v>29-Apr</c:v>
                </c:pt>
                <c:pt idx="60">
                  <c:v>30-Apr</c:v>
                </c:pt>
                <c:pt idx="61">
                  <c:v>01-May</c:v>
                </c:pt>
                <c:pt idx="62">
                  <c:v>02-May</c:v>
                </c:pt>
                <c:pt idx="63">
                  <c:v>03-May</c:v>
                </c:pt>
                <c:pt idx="64">
                  <c:v>04-May</c:v>
                </c:pt>
                <c:pt idx="65">
                  <c:v>05-May</c:v>
                </c:pt>
                <c:pt idx="66">
                  <c:v>06-May</c:v>
                </c:pt>
                <c:pt idx="67">
                  <c:v>07-May</c:v>
                </c:pt>
                <c:pt idx="68">
                  <c:v>08-May</c:v>
                </c:pt>
                <c:pt idx="69">
                  <c:v>09-May</c:v>
                </c:pt>
                <c:pt idx="70">
                  <c:v>10-May</c:v>
                </c:pt>
                <c:pt idx="71">
                  <c:v>11-May</c:v>
                </c:pt>
                <c:pt idx="72">
                  <c:v>12-May</c:v>
                </c:pt>
                <c:pt idx="73">
                  <c:v>13-May</c:v>
                </c:pt>
                <c:pt idx="74">
                  <c:v>14-May</c:v>
                </c:pt>
                <c:pt idx="75">
                  <c:v>15-May</c:v>
                </c:pt>
                <c:pt idx="76">
                  <c:v>16-May</c:v>
                </c:pt>
                <c:pt idx="77">
                  <c:v>17-May</c:v>
                </c:pt>
                <c:pt idx="78">
                  <c:v>18-May</c:v>
                </c:pt>
                <c:pt idx="79">
                  <c:v>19-May</c:v>
                </c:pt>
                <c:pt idx="80">
                  <c:v>20-May</c:v>
                </c:pt>
                <c:pt idx="81">
                  <c:v>21-May</c:v>
                </c:pt>
                <c:pt idx="82">
                  <c:v>22-May</c:v>
                </c:pt>
                <c:pt idx="83">
                  <c:v>23-May</c:v>
                </c:pt>
                <c:pt idx="84">
                  <c:v>24-May</c:v>
                </c:pt>
                <c:pt idx="85">
                  <c:v>25-May</c:v>
                </c:pt>
                <c:pt idx="86">
                  <c:v>26-May</c:v>
                </c:pt>
                <c:pt idx="87">
                  <c:v>27-May</c:v>
                </c:pt>
                <c:pt idx="88">
                  <c:v>28-May</c:v>
                </c:pt>
                <c:pt idx="89">
                  <c:v>29-May</c:v>
                </c:pt>
                <c:pt idx="90">
                  <c:v>30-May</c:v>
                </c:pt>
                <c:pt idx="91">
                  <c:v>31-May</c:v>
                </c:pt>
              </c:strCache>
            </c:strRef>
          </c:cat>
          <c:val>
            <c:numRef>
              <c:f>'📈 Daily Trends'!$F$3:$F$94</c:f>
              <c:numCache>
                <c:formatCode>#,##0</c:formatCode>
                <c:ptCount val="92"/>
                <c:pt idx="0">
                  <c:v>5796</c:v>
                </c:pt>
                <c:pt idx="1">
                  <c:v>5704</c:v>
                </c:pt>
                <c:pt idx="2">
                  <c:v>4048</c:v>
                </c:pt>
                <c:pt idx="3">
                  <c:v>6164</c:v>
                </c:pt>
                <c:pt idx="4">
                  <c:v>4876</c:v>
                </c:pt>
                <c:pt idx="5">
                  <c:v>5060</c:v>
                </c:pt>
                <c:pt idx="6">
                  <c:v>6624</c:v>
                </c:pt>
                <c:pt idx="7">
                  <c:v>5612</c:v>
                </c:pt>
                <c:pt idx="8">
                  <c:v>8004</c:v>
                </c:pt>
                <c:pt idx="9">
                  <c:v>3772</c:v>
                </c:pt>
                <c:pt idx="10">
                  <c:v>7452</c:v>
                </c:pt>
                <c:pt idx="11">
                  <c:v>6716</c:v>
                </c:pt>
                <c:pt idx="12">
                  <c:v>2852</c:v>
                </c:pt>
                <c:pt idx="13">
                  <c:v>5060</c:v>
                </c:pt>
                <c:pt idx="14">
                  <c:v>4876</c:v>
                </c:pt>
                <c:pt idx="15">
                  <c:v>2944</c:v>
                </c:pt>
                <c:pt idx="16">
                  <c:v>5152</c:v>
                </c:pt>
                <c:pt idx="17">
                  <c:v>4232</c:v>
                </c:pt>
                <c:pt idx="18">
                  <c:v>5336</c:v>
                </c:pt>
                <c:pt idx="19">
                  <c:v>4508</c:v>
                </c:pt>
                <c:pt idx="20">
                  <c:v>5336</c:v>
                </c:pt>
                <c:pt idx="21">
                  <c:v>4140</c:v>
                </c:pt>
                <c:pt idx="22">
                  <c:v>7176</c:v>
                </c:pt>
                <c:pt idx="23">
                  <c:v>6164</c:v>
                </c:pt>
                <c:pt idx="24">
                  <c:v>7176</c:v>
                </c:pt>
                <c:pt idx="25">
                  <c:v>10396</c:v>
                </c:pt>
                <c:pt idx="26">
                  <c:v>6624</c:v>
                </c:pt>
                <c:pt idx="27">
                  <c:v>5428</c:v>
                </c:pt>
                <c:pt idx="28">
                  <c:v>9476</c:v>
                </c:pt>
                <c:pt idx="29">
                  <c:v>5980</c:v>
                </c:pt>
                <c:pt idx="30">
                  <c:v>4600</c:v>
                </c:pt>
                <c:pt idx="31">
                  <c:v>3312</c:v>
                </c:pt>
                <c:pt idx="32">
                  <c:v>7728</c:v>
                </c:pt>
                <c:pt idx="33">
                  <c:v>5428</c:v>
                </c:pt>
                <c:pt idx="34">
                  <c:v>8004</c:v>
                </c:pt>
                <c:pt idx="35">
                  <c:v>3772</c:v>
                </c:pt>
                <c:pt idx="36">
                  <c:v>5152</c:v>
                </c:pt>
                <c:pt idx="37">
                  <c:v>6532</c:v>
                </c:pt>
                <c:pt idx="38">
                  <c:v>7452</c:v>
                </c:pt>
                <c:pt idx="39">
                  <c:v>3680</c:v>
                </c:pt>
                <c:pt idx="40">
                  <c:v>8464</c:v>
                </c:pt>
                <c:pt idx="41">
                  <c:v>3772</c:v>
                </c:pt>
                <c:pt idx="42">
                  <c:v>8372</c:v>
                </c:pt>
                <c:pt idx="43">
                  <c:v>6992</c:v>
                </c:pt>
                <c:pt idx="44">
                  <c:v>6532</c:v>
                </c:pt>
                <c:pt idx="45">
                  <c:v>6348</c:v>
                </c:pt>
                <c:pt idx="46">
                  <c:v>2760</c:v>
                </c:pt>
                <c:pt idx="47">
                  <c:v>5244</c:v>
                </c:pt>
                <c:pt idx="48">
                  <c:v>8832</c:v>
                </c:pt>
                <c:pt idx="49">
                  <c:v>7084</c:v>
                </c:pt>
                <c:pt idx="50">
                  <c:v>5888</c:v>
                </c:pt>
                <c:pt idx="51">
                  <c:v>5520</c:v>
                </c:pt>
                <c:pt idx="52">
                  <c:v>2944</c:v>
                </c:pt>
                <c:pt idx="53">
                  <c:v>2852</c:v>
                </c:pt>
                <c:pt idx="54">
                  <c:v>6532</c:v>
                </c:pt>
                <c:pt idx="55">
                  <c:v>7820</c:v>
                </c:pt>
                <c:pt idx="56">
                  <c:v>4600</c:v>
                </c:pt>
                <c:pt idx="57">
                  <c:v>4324</c:v>
                </c:pt>
                <c:pt idx="58">
                  <c:v>10028</c:v>
                </c:pt>
                <c:pt idx="59">
                  <c:v>3220</c:v>
                </c:pt>
                <c:pt idx="60">
                  <c:v>5428</c:v>
                </c:pt>
                <c:pt idx="61">
                  <c:v>6808</c:v>
                </c:pt>
                <c:pt idx="62">
                  <c:v>4784</c:v>
                </c:pt>
                <c:pt idx="63">
                  <c:v>4416</c:v>
                </c:pt>
                <c:pt idx="64">
                  <c:v>4508</c:v>
                </c:pt>
                <c:pt idx="65">
                  <c:v>3404</c:v>
                </c:pt>
                <c:pt idx="66">
                  <c:v>4784</c:v>
                </c:pt>
                <c:pt idx="67">
                  <c:v>5796</c:v>
                </c:pt>
                <c:pt idx="68">
                  <c:v>6808</c:v>
                </c:pt>
                <c:pt idx="69">
                  <c:v>3404</c:v>
                </c:pt>
                <c:pt idx="70">
                  <c:v>5888</c:v>
                </c:pt>
                <c:pt idx="71">
                  <c:v>6716</c:v>
                </c:pt>
                <c:pt idx="72">
                  <c:v>6440</c:v>
                </c:pt>
                <c:pt idx="73">
                  <c:v>7912</c:v>
                </c:pt>
                <c:pt idx="74">
                  <c:v>6624</c:v>
                </c:pt>
                <c:pt idx="75">
                  <c:v>4876</c:v>
                </c:pt>
                <c:pt idx="76">
                  <c:v>6532</c:v>
                </c:pt>
                <c:pt idx="77">
                  <c:v>6440</c:v>
                </c:pt>
                <c:pt idx="78">
                  <c:v>7084</c:v>
                </c:pt>
                <c:pt idx="79">
                  <c:v>7084</c:v>
                </c:pt>
                <c:pt idx="80">
                  <c:v>5060</c:v>
                </c:pt>
                <c:pt idx="81">
                  <c:v>3128</c:v>
                </c:pt>
                <c:pt idx="82">
                  <c:v>3680</c:v>
                </c:pt>
                <c:pt idx="83">
                  <c:v>6624</c:v>
                </c:pt>
                <c:pt idx="84">
                  <c:v>7544</c:v>
                </c:pt>
                <c:pt idx="85">
                  <c:v>5244</c:v>
                </c:pt>
                <c:pt idx="86">
                  <c:v>828</c:v>
                </c:pt>
                <c:pt idx="87">
                  <c:v>2852</c:v>
                </c:pt>
                <c:pt idx="88">
                  <c:v>6072</c:v>
                </c:pt>
                <c:pt idx="89">
                  <c:v>3680</c:v>
                </c:pt>
                <c:pt idx="90">
                  <c:v>4876</c:v>
                </c:pt>
                <c:pt idx="91">
                  <c:v>6808</c:v>
                </c:pt>
              </c:numCache>
            </c:numRef>
          </c:val>
        </c:ser>
        <c:gapWidth val="150"/>
        <c:overlap val="0"/>
        <c:axId val="45163829"/>
        <c:axId val="62898407"/>
      </c:barChart>
      <c:catAx>
        <c:axId val="45163829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98407"/>
        <c:crosses val="autoZero"/>
        <c:auto val="1"/>
        <c:lblAlgn val="ctr"/>
        <c:lblOffset val="100"/>
        <c:noMultiLvlLbl val="0"/>
      </c:catAx>
      <c:valAx>
        <c:axId val="628984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638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44</xdr:col>
      <xdr:colOff>66960</xdr:colOff>
      <xdr:row>22</xdr:row>
      <xdr:rowOff>183960</xdr:rowOff>
    </xdr:to>
    <xdr:graphicFrame>
      <xdr:nvGraphicFramePr>
        <xdr:cNvPr id="0" name="Chart 1"/>
        <xdr:cNvGraphicFramePr/>
      </xdr:nvGraphicFramePr>
      <xdr:xfrm>
        <a:off x="5533560" y="457200"/>
        <a:ext cx="122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29</xdr:row>
      <xdr:rowOff>0</xdr:rowOff>
    </xdr:from>
    <xdr:to>
      <xdr:col>44</xdr:col>
      <xdr:colOff>66960</xdr:colOff>
      <xdr:row>51</xdr:row>
      <xdr:rowOff>69480</xdr:rowOff>
    </xdr:to>
    <xdr:graphicFrame>
      <xdr:nvGraphicFramePr>
        <xdr:cNvPr id="1" name="Chart 2"/>
        <xdr:cNvGraphicFramePr/>
      </xdr:nvGraphicFramePr>
      <xdr:xfrm>
        <a:off x="5533560" y="6419880"/>
        <a:ext cx="122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57</xdr:row>
      <xdr:rowOff>0</xdr:rowOff>
    </xdr:from>
    <xdr:to>
      <xdr:col>44</xdr:col>
      <xdr:colOff>66960</xdr:colOff>
      <xdr:row>79</xdr:row>
      <xdr:rowOff>69480</xdr:rowOff>
    </xdr:to>
    <xdr:graphicFrame>
      <xdr:nvGraphicFramePr>
        <xdr:cNvPr id="2" name="Chart 3"/>
        <xdr:cNvGraphicFramePr/>
      </xdr:nvGraphicFramePr>
      <xdr:xfrm>
        <a:off x="5533560" y="12287160"/>
        <a:ext cx="122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85</xdr:row>
      <xdr:rowOff>0</xdr:rowOff>
    </xdr:from>
    <xdr:to>
      <xdr:col>44</xdr:col>
      <xdr:colOff>66960</xdr:colOff>
      <xdr:row>108</xdr:row>
      <xdr:rowOff>126720</xdr:rowOff>
    </xdr:to>
    <xdr:graphicFrame>
      <xdr:nvGraphicFramePr>
        <xdr:cNvPr id="3" name="Chart 4"/>
        <xdr:cNvGraphicFramePr/>
      </xdr:nvGraphicFramePr>
      <xdr:xfrm>
        <a:off x="5533560" y="18154800"/>
        <a:ext cx="122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941D"/>
    <pageSetUpPr fitToPage="false"/>
  </sheetPr>
  <dimension ref="A1:AC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5" min="3" style="1" width="16"/>
    <col collapsed="false" customWidth="true" hidden="false" outlineLevel="0" max="9" min="6" style="1" width="14"/>
    <col collapsed="false" customWidth="true" hidden="false" outlineLevel="0" max="10" min="10" style="1" width="3"/>
    <col collapsed="false" customWidth="true" hidden="false" outlineLevel="0" max="11" min="11" style="1" width="22"/>
    <col collapsed="false" customWidth="true" hidden="false" outlineLevel="0" max="14" min="12" style="1" width="14"/>
    <col collapsed="false" customWidth="true" hidden="false" outlineLevel="0" max="15" min="15" style="1" width="3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customFormat="false" ht="39.75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7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customFormat="false" ht="13.5" hidden="false" customHeight="true" outlineLevel="0" collapsed="false">
      <c r="A4" s="2"/>
      <c r="B4" s="4"/>
      <c r="C4" s="4"/>
      <c r="D4" s="5"/>
      <c r="E4" s="5"/>
      <c r="F4" s="6"/>
      <c r="G4" s="6"/>
      <c r="H4" s="7"/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customFormat="false" ht="27.75" hidden="false" customHeight="true" outlineLevel="0" collapsed="false">
      <c r="A5" s="2"/>
      <c r="B5" s="8" t="s">
        <v>1</v>
      </c>
      <c r="C5" s="8"/>
      <c r="D5" s="8" t="s">
        <v>2</v>
      </c>
      <c r="E5" s="8"/>
      <c r="F5" s="8" t="s">
        <v>3</v>
      </c>
      <c r="G5" s="8"/>
      <c r="H5" s="8" t="s">
        <v>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customFormat="false" ht="21.75" hidden="false" customHeight="true" outlineLevel="0" collapsed="false">
      <c r="A6" s="2"/>
      <c r="B6" s="9" t="n">
        <v>30096880</v>
      </c>
      <c r="C6" s="9"/>
      <c r="D6" s="10" t="n">
        <v>519984</v>
      </c>
      <c r="E6" s="10"/>
      <c r="F6" s="11" t="n">
        <v>14733892</v>
      </c>
      <c r="G6" s="11"/>
      <c r="H6" s="12" t="n">
        <v>518604</v>
      </c>
      <c r="I6" s="1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customFormat="false" ht="18" hidden="false" customHeight="true" outlineLevel="0" collapsed="false">
      <c r="A7" s="2"/>
      <c r="B7" s="13" t="s">
        <v>5</v>
      </c>
      <c r="C7" s="13"/>
      <c r="D7" s="13" t="s">
        <v>5</v>
      </c>
      <c r="E7" s="13"/>
      <c r="F7" s="13" t="s">
        <v>5</v>
      </c>
      <c r="G7" s="13"/>
      <c r="H7" s="13" t="s">
        <v>5</v>
      </c>
      <c r="I7" s="1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customFormat="false" ht="12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customFormat="false" ht="21.75" hidden="false" customHeight="true" outlineLevel="0" collapsed="false">
      <c r="A9" s="2"/>
      <c r="B9" s="14" t="s">
        <v>6</v>
      </c>
      <c r="C9" s="14"/>
      <c r="D9" s="14"/>
      <c r="E9" s="14"/>
      <c r="F9" s="14"/>
      <c r="G9" s="14"/>
      <c r="H9" s="14"/>
      <c r="I9" s="1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customFormat="false" ht="30" hidden="false" customHeight="true" outlineLevel="0" collapsed="false">
      <c r="A10" s="2"/>
      <c r="B10" s="15" t="s">
        <v>7</v>
      </c>
      <c r="C10" s="15" t="s">
        <v>8</v>
      </c>
      <c r="D10" s="15" t="s">
        <v>9</v>
      </c>
      <c r="E10" s="15" t="s">
        <v>10</v>
      </c>
      <c r="F10" s="15" t="s">
        <v>11</v>
      </c>
      <c r="G10" s="15" t="s">
        <v>12</v>
      </c>
      <c r="H10" s="15" t="s">
        <v>13</v>
      </c>
      <c r="I10" s="15" t="s">
        <v>14</v>
      </c>
      <c r="J10" s="2"/>
      <c r="K10" s="15" t="s">
        <v>15</v>
      </c>
      <c r="L10" s="15" t="s">
        <v>16</v>
      </c>
      <c r="M10" s="15" t="s">
        <v>17</v>
      </c>
      <c r="N10" s="15" t="s">
        <v>18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customFormat="false" ht="21.75" hidden="false" customHeight="true" outlineLevel="0" collapsed="false">
      <c r="A11" s="2"/>
      <c r="B11" s="16" t="s">
        <v>19</v>
      </c>
      <c r="C11" s="17" t="n">
        <v>9609400</v>
      </c>
      <c r="D11" s="18" t="n">
        <v>10089640</v>
      </c>
      <c r="E11" s="18" t="n">
        <v>10397840</v>
      </c>
      <c r="F11" s="19" t="n">
        <f aca="false">C11/D11-1</f>
        <v>-0.0475973374669463</v>
      </c>
      <c r="G11" s="19" t="n">
        <f aca="false">D11/E11-1</f>
        <v>-0.0296407715448593</v>
      </c>
      <c r="H11" s="18" t="n">
        <f aca="false">C11-D11</f>
        <v>-480240</v>
      </c>
      <c r="I11" s="18" t="n">
        <f aca="false">D11-E11</f>
        <v>-308200</v>
      </c>
      <c r="J11" s="2"/>
      <c r="K11" s="20" t="n">
        <f aca="false">C11/31</f>
        <v>309980.64516129</v>
      </c>
      <c r="L11" s="18" t="n">
        <f aca="false">D11/30</f>
        <v>336321.333333333</v>
      </c>
      <c r="M11" s="18" t="n">
        <f aca="false">K11-L11</f>
        <v>-26340.688172043</v>
      </c>
      <c r="N11" s="18" t="n">
        <f aca="false">L11-O11</f>
        <v>907.139784946339</v>
      </c>
      <c r="O11" s="21" t="n">
        <v>335414.193548387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customFormat="false" ht="21.75" hidden="false" customHeight="true" outlineLevel="0" collapsed="false">
      <c r="A12" s="2"/>
      <c r="B12" s="22" t="s">
        <v>20</v>
      </c>
      <c r="C12" s="23" t="n">
        <v>171212</v>
      </c>
      <c r="D12" s="24" t="n">
        <v>167716</v>
      </c>
      <c r="E12" s="24" t="n">
        <v>181056</v>
      </c>
      <c r="F12" s="25" t="n">
        <f aca="false">C12/D12-1</f>
        <v>0.0208447613823368</v>
      </c>
      <c r="G12" s="25" t="n">
        <f aca="false">D12/E12-1</f>
        <v>-0.0736788617886179</v>
      </c>
      <c r="H12" s="24" t="n">
        <f aca="false">C12-D12</f>
        <v>3496</v>
      </c>
      <c r="I12" s="24" t="n">
        <f aca="false">D12-E12</f>
        <v>-13340</v>
      </c>
      <c r="J12" s="2"/>
      <c r="K12" s="26" t="n">
        <f aca="false">C12/31</f>
        <v>5522.96774193548</v>
      </c>
      <c r="L12" s="24" t="n">
        <f aca="false">D12/30</f>
        <v>5590.53333333333</v>
      </c>
      <c r="M12" s="24" t="n">
        <f aca="false">K12-L12</f>
        <v>-67.5655913978499</v>
      </c>
      <c r="N12" s="24" t="n">
        <f aca="false">L12-O12</f>
        <v>-249.982795698927</v>
      </c>
      <c r="O12" s="21" t="n">
        <v>5840.51612903226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customFormat="false" ht="21.75" hidden="false" customHeight="true" outlineLevel="0" collapsed="false">
      <c r="A13" s="2"/>
      <c r="B13" s="16" t="s">
        <v>21</v>
      </c>
      <c r="C13" s="17" t="n">
        <v>4894124</v>
      </c>
      <c r="D13" s="18" t="n">
        <v>4722820</v>
      </c>
      <c r="E13" s="18" t="n">
        <v>5116948</v>
      </c>
      <c r="F13" s="19" t="n">
        <f aca="false">C13/D13-1</f>
        <v>0.0362715496250121</v>
      </c>
      <c r="G13" s="19" t="n">
        <f aca="false">D13/E13-1</f>
        <v>-0.0770240385479782</v>
      </c>
      <c r="H13" s="18" t="n">
        <f aca="false">C13-D13</f>
        <v>171304</v>
      </c>
      <c r="I13" s="18" t="n">
        <f aca="false">D13-E13</f>
        <v>-394128</v>
      </c>
      <c r="J13" s="2"/>
      <c r="K13" s="20" t="n">
        <f aca="false">C13/31</f>
        <v>157874.967741935</v>
      </c>
      <c r="L13" s="18" t="n">
        <f aca="false">D13/30</f>
        <v>157427.333333333</v>
      </c>
      <c r="M13" s="18" t="n">
        <f aca="false">K13-L13</f>
        <v>447.634408602142</v>
      </c>
      <c r="N13" s="18" t="n">
        <f aca="false">L13-O13</f>
        <v>-7635.50537634364</v>
      </c>
      <c r="O13" s="21" t="n">
        <v>165062.838709677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customFormat="false" ht="21.75" hidden="false" customHeight="true" outlineLevel="0" collapsed="false">
      <c r="A14" s="2"/>
      <c r="B14" s="22" t="s">
        <v>22</v>
      </c>
      <c r="C14" s="23" t="n">
        <v>166704</v>
      </c>
      <c r="D14" s="24" t="n">
        <v>174616</v>
      </c>
      <c r="E14" s="24" t="n">
        <v>177284</v>
      </c>
      <c r="F14" s="25" t="n">
        <f aca="false">C14/D14-1</f>
        <v>-0.0453108535300316</v>
      </c>
      <c r="G14" s="25" t="n">
        <f aca="false">D14/E14-1</f>
        <v>-0.0150492994291646</v>
      </c>
      <c r="H14" s="24" t="n">
        <f aca="false">C14-D14</f>
        <v>-7912</v>
      </c>
      <c r="I14" s="24" t="n">
        <f aca="false">D14-E14</f>
        <v>-2668</v>
      </c>
      <c r="J14" s="2"/>
      <c r="K14" s="26" t="n">
        <f aca="false">C14/31</f>
        <v>5377.54838709678</v>
      </c>
      <c r="L14" s="24" t="n">
        <f aca="false">D14/30</f>
        <v>5820.53333333333</v>
      </c>
      <c r="M14" s="24" t="n">
        <f aca="false">K14-L14</f>
        <v>-442.984946236559</v>
      </c>
      <c r="N14" s="24" t="n">
        <f aca="false">L14-O14</f>
        <v>101.694623655913</v>
      </c>
      <c r="O14" s="21" t="n">
        <v>5718.83870967742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customFormat="false" ht="19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customFormat="false" ht="19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customFormat="false" ht="21.75" hidden="false" customHeight="true" outlineLevel="0" collapsed="false">
      <c r="A17" s="2"/>
      <c r="B17" s="27" t="s">
        <v>23</v>
      </c>
      <c r="C17" s="27"/>
      <c r="D17" s="27"/>
      <c r="E17" s="27"/>
      <c r="F17" s="27"/>
      <c r="G17" s="27"/>
      <c r="H17" s="27"/>
      <c r="I17" s="27"/>
      <c r="J17" s="2"/>
      <c r="K17" s="28" t="s">
        <v>24</v>
      </c>
      <c r="L17" s="28"/>
      <c r="M17" s="28"/>
      <c r="N17" s="28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customFormat="false" ht="19.5" hidden="false" customHeight="true" outlineLevel="0" collapsed="false">
      <c r="A18" s="2"/>
      <c r="B18" s="15" t="s">
        <v>25</v>
      </c>
      <c r="C18" s="15" t="s">
        <v>8</v>
      </c>
      <c r="D18" s="15" t="s">
        <v>9</v>
      </c>
      <c r="E18" s="15" t="s">
        <v>10</v>
      </c>
      <c r="F18" s="15" t="s">
        <v>11</v>
      </c>
      <c r="G18" s="15" t="s">
        <v>12</v>
      </c>
      <c r="H18" s="2"/>
      <c r="I18" s="2"/>
      <c r="J18" s="2"/>
      <c r="K18" s="15" t="s">
        <v>26</v>
      </c>
      <c r="L18" s="15" t="s">
        <v>8</v>
      </c>
      <c r="M18" s="15" t="s">
        <v>9</v>
      </c>
      <c r="N18" s="15" t="s">
        <v>10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customFormat="false" ht="19.5" hidden="false" customHeight="true" outlineLevel="0" collapsed="false">
      <c r="A19" s="2"/>
      <c r="B19" s="29" t="s">
        <v>27</v>
      </c>
      <c r="C19" s="18" t="n">
        <v>3220460</v>
      </c>
      <c r="D19" s="18" t="n">
        <v>3670340</v>
      </c>
      <c r="E19" s="18" t="n">
        <v>3317520</v>
      </c>
      <c r="F19" s="19" t="n">
        <f aca="false">C19/D19-1</f>
        <v>-0.122571750845971</v>
      </c>
      <c r="G19" s="19" t="n">
        <f aca="false">D19/E19-1</f>
        <v>0.106350526899612</v>
      </c>
      <c r="H19" s="2"/>
      <c r="I19" s="2"/>
      <c r="J19" s="2"/>
      <c r="K19" s="30" t="s">
        <v>28</v>
      </c>
      <c r="L19" s="18" t="n">
        <v>3825820</v>
      </c>
      <c r="M19" s="18" t="n">
        <v>2950900</v>
      </c>
      <c r="N19" s="18" t="n">
        <v>2963780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customFormat="false" ht="19.5" hidden="false" customHeight="true" outlineLevel="0" collapsed="false">
      <c r="A20" s="2"/>
      <c r="B20" s="31" t="s">
        <v>29</v>
      </c>
      <c r="C20" s="24" t="n">
        <v>2526320</v>
      </c>
      <c r="D20" s="24" t="n">
        <v>3116960</v>
      </c>
      <c r="E20" s="24" t="n">
        <v>3131220</v>
      </c>
      <c r="F20" s="25" t="n">
        <f aca="false">C20/D20-1</f>
        <v>-0.189492325855962</v>
      </c>
      <c r="G20" s="25" t="n">
        <f aca="false">D20/E20-1</f>
        <v>-0.00455413544880268</v>
      </c>
      <c r="H20" s="2"/>
      <c r="I20" s="2"/>
      <c r="J20" s="2"/>
      <c r="K20" s="32" t="s">
        <v>30</v>
      </c>
      <c r="L20" s="24" t="n">
        <v>3124320</v>
      </c>
      <c r="M20" s="24" t="n">
        <v>4208080</v>
      </c>
      <c r="N20" s="24" t="n">
        <v>2971140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customFormat="false" ht="19.5" hidden="false" customHeight="true" outlineLevel="0" collapsed="false">
      <c r="A21" s="2"/>
      <c r="B21" s="33" t="s">
        <v>31</v>
      </c>
      <c r="C21" s="18" t="n">
        <v>3862620</v>
      </c>
      <c r="D21" s="18" t="n">
        <v>3302340</v>
      </c>
      <c r="E21" s="18" t="n">
        <v>3949100</v>
      </c>
      <c r="F21" s="19" t="n">
        <f aca="false">C21/D21-1</f>
        <v>0.169661512745508</v>
      </c>
      <c r="G21" s="19" t="n">
        <f aca="false">D21/E21-1</f>
        <v>-0.16377402446127</v>
      </c>
      <c r="H21" s="2"/>
      <c r="I21" s="2"/>
      <c r="J21" s="2"/>
      <c r="K21" s="34" t="s">
        <v>32</v>
      </c>
      <c r="L21" s="18" t="n">
        <v>2659260</v>
      </c>
      <c r="M21" s="18" t="n">
        <v>2930660</v>
      </c>
      <c r="N21" s="18" t="n">
        <v>4462920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customFormat="false" ht="19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customFormat="false" ht="21.75" hidden="false" customHeight="true" outlineLevel="0" collapsed="false">
      <c r="A23" s="2"/>
      <c r="B23" s="35" t="s">
        <v>33</v>
      </c>
      <c r="C23" s="35"/>
      <c r="D23" s="35"/>
      <c r="E23" s="35"/>
      <c r="F23" s="35"/>
      <c r="G23" s="35"/>
      <c r="H23" s="35"/>
      <c r="I23" s="3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customFormat="false" ht="19.5" hidden="false" customHeight="true" outlineLevel="0" collapsed="false">
      <c r="A24" s="2"/>
      <c r="B24" s="15" t="s">
        <v>34</v>
      </c>
      <c r="C24" s="15" t="s">
        <v>8</v>
      </c>
      <c r="D24" s="15" t="s">
        <v>9</v>
      </c>
      <c r="E24" s="15" t="s">
        <v>10</v>
      </c>
      <c r="F24" s="15" t="s">
        <v>11</v>
      </c>
      <c r="G24" s="15" t="s">
        <v>12</v>
      </c>
      <c r="H24" s="15" t="s">
        <v>35</v>
      </c>
      <c r="I24" s="15" t="s">
        <v>36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customFormat="false" ht="19.5" hidden="false" customHeight="true" outlineLevel="0" collapsed="false">
      <c r="A25" s="2"/>
      <c r="B25" s="16" t="s">
        <v>37</v>
      </c>
      <c r="C25" s="18" t="n">
        <v>1925100</v>
      </c>
      <c r="D25" s="18" t="n">
        <v>1872660</v>
      </c>
      <c r="E25" s="18" t="n">
        <v>1754900</v>
      </c>
      <c r="F25" s="19" t="n">
        <f aca="false">C25/D25-1</f>
        <v>0.0280029476787029</v>
      </c>
      <c r="G25" s="19" t="n">
        <f aca="false">D25/E25-1</f>
        <v>0.0671035386631718</v>
      </c>
      <c r="H25" s="36" t="s">
        <v>38</v>
      </c>
      <c r="I25" s="19" t="n">
        <v>0.200335088559119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customFormat="false" ht="19.5" hidden="false" customHeight="true" outlineLevel="0" collapsed="false">
      <c r="A26" s="2"/>
      <c r="B26" s="22" t="s">
        <v>39</v>
      </c>
      <c r="C26" s="24" t="n">
        <v>1742020</v>
      </c>
      <c r="D26" s="24" t="n">
        <v>3241620</v>
      </c>
      <c r="E26" s="24" t="n">
        <v>2069080</v>
      </c>
      <c r="F26" s="25" t="n">
        <f aca="false">C26/D26-1</f>
        <v>-0.462608202071804</v>
      </c>
      <c r="G26" s="25" t="n">
        <f aca="false">D26/E26-1</f>
        <v>0.566696309470876</v>
      </c>
      <c r="H26" s="37" t="s">
        <v>40</v>
      </c>
      <c r="I26" s="25" t="n">
        <v>0.181282910483485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customFormat="false" ht="19.5" hidden="false" customHeight="true" outlineLevel="0" collapsed="false">
      <c r="A27" s="2"/>
      <c r="B27" s="16" t="s">
        <v>41</v>
      </c>
      <c r="C27" s="18" t="n">
        <v>2110940</v>
      </c>
      <c r="D27" s="18" t="n">
        <v>2281600</v>
      </c>
      <c r="E27" s="18" t="n">
        <v>1552500</v>
      </c>
      <c r="F27" s="19" t="n">
        <f aca="false">C27/D27-1</f>
        <v>-0.0747983870967742</v>
      </c>
      <c r="G27" s="19" t="n">
        <f aca="false">D27/E27-1</f>
        <v>0.46962962962963</v>
      </c>
      <c r="H27" s="36" t="s">
        <v>42</v>
      </c>
      <c r="I27" s="19" t="n">
        <v>0.219674485399713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customFormat="false" ht="19.5" hidden="false" customHeight="true" outlineLevel="0" collapsed="false">
      <c r="A28" s="2"/>
      <c r="B28" s="22" t="s">
        <v>43</v>
      </c>
      <c r="C28" s="24" t="n">
        <v>2113700</v>
      </c>
      <c r="D28" s="24" t="n">
        <v>1413580</v>
      </c>
      <c r="E28" s="24" t="n">
        <v>1937060</v>
      </c>
      <c r="F28" s="25" t="n">
        <f aca="false">C28/D28-1</f>
        <v>0.495281483891962</v>
      </c>
      <c r="G28" s="25" t="n">
        <f aca="false">D28/E28-1</f>
        <v>-0.270244597482783</v>
      </c>
      <c r="H28" s="37" t="s">
        <v>44</v>
      </c>
      <c r="I28" s="25" t="n">
        <v>0.219961704164672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customFormat="false" ht="19.5" hidden="false" customHeight="true" outlineLevel="0" collapsed="false">
      <c r="A29" s="2"/>
      <c r="B29" s="16" t="s">
        <v>45</v>
      </c>
      <c r="C29" s="18" t="n">
        <v>1717640</v>
      </c>
      <c r="D29" s="18" t="n">
        <v>1280180</v>
      </c>
      <c r="E29" s="18" t="n">
        <v>3084300</v>
      </c>
      <c r="F29" s="19" t="n">
        <f aca="false">C29/D29-1</f>
        <v>0.341717570966583</v>
      </c>
      <c r="G29" s="19" t="n">
        <f aca="false">D29/E29-1</f>
        <v>-0.584936614466816</v>
      </c>
      <c r="H29" s="36" t="s">
        <v>46</v>
      </c>
      <c r="I29" s="19" t="n">
        <v>0.178745811393011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customFormat="false" ht="18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customFormat="false" ht="18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customFormat="false" ht="18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customFormat="false" ht="18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customFormat="false" ht="18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customFormat="false" ht="18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customFormat="false" ht="18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customFormat="false" ht="18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customFormat="false" ht="18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customFormat="false" ht="18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customFormat="false" ht="18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customFormat="false" ht="18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customFormat="false" ht="18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customFormat="false" ht="18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customFormat="false" ht="18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customFormat="false" ht="18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customFormat="false" ht="18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customFormat="false" ht="18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customFormat="false" ht="18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customFormat="false" ht="18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customFormat="false" ht="18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customFormat="false" ht="18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customFormat="false" ht="18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customFormat="false" ht="18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customFormat="false" ht="18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customFormat="false" ht="18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customFormat="false" ht="18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customFormat="false" ht="18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customFormat="false" ht="18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customFormat="false" ht="18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customFormat="false" ht="18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customFormat="false" ht="18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customFormat="false" ht="18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customFormat="false" ht="18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customFormat="false" ht="18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customFormat="false" ht="18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customFormat="false" ht="18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customFormat="false" ht="18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customFormat="false" ht="18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customFormat="false" ht="18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customFormat="false" ht="18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customFormat="false" ht="18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customFormat="false" ht="18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customFormat="false" ht="18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customFormat="false" ht="18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customFormat="false" ht="18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customFormat="false" ht="18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customFormat="false" ht="18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customFormat="false" ht="18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customFormat="false" ht="18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</sheetData>
  <mergeCells count="17">
    <mergeCell ref="A2:O2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9:I9"/>
    <mergeCell ref="B17:I17"/>
    <mergeCell ref="K17:N17"/>
    <mergeCell ref="B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8E8"/>
    <pageSetUpPr fitToPage="false"/>
  </sheetPr>
  <dimension ref="A1:S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5" min="3" style="1" width="18"/>
    <col collapsed="false" customWidth="true" hidden="false" outlineLevel="0" max="7" min="6" style="1" width="15"/>
    <col collapsed="false" customWidth="true" hidden="false" outlineLevel="0" max="11" min="8" style="1" width="18"/>
    <col collapsed="false" customWidth="true" hidden="false" outlineLevel="0" max="12" min="12" style="1" width="3"/>
  </cols>
  <sheetData>
    <row r="1" customFormat="false" ht="36" hidden="false" customHeight="true" outlineLevel="0" collapsed="false">
      <c r="A1" s="38" t="s">
        <v>47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2"/>
      <c r="N1" s="2"/>
      <c r="O1" s="2"/>
      <c r="P1" s="2"/>
      <c r="Q1" s="2"/>
      <c r="R1" s="2"/>
      <c r="S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24" hidden="false" customHeight="true" outlineLevel="0" collapsed="false">
      <c r="A3" s="2"/>
      <c r="B3" s="39" t="s">
        <v>48</v>
      </c>
      <c r="C3" s="39"/>
      <c r="D3" s="39"/>
      <c r="E3" s="39"/>
      <c r="F3" s="39"/>
      <c r="G3" s="39"/>
      <c r="H3" s="39"/>
      <c r="I3" s="39"/>
      <c r="J3" s="39"/>
      <c r="K3" s="39"/>
      <c r="L3" s="2"/>
      <c r="M3" s="2"/>
      <c r="N3" s="2"/>
      <c r="O3" s="2"/>
      <c r="P3" s="2"/>
      <c r="Q3" s="2"/>
      <c r="R3" s="2"/>
      <c r="S3" s="2"/>
    </row>
    <row r="4" customFormat="false" ht="27.75" hidden="false" customHeight="true" outlineLevel="0" collapsed="false">
      <c r="A4" s="2"/>
      <c r="B4" s="15"/>
      <c r="C4" s="15" t="s">
        <v>49</v>
      </c>
      <c r="D4" s="15" t="s">
        <v>50</v>
      </c>
      <c r="E4" s="15" t="s">
        <v>51</v>
      </c>
      <c r="F4" s="15" t="s">
        <v>52</v>
      </c>
      <c r="G4" s="15" t="s">
        <v>53</v>
      </c>
      <c r="H4" s="15" t="s">
        <v>54</v>
      </c>
      <c r="I4" s="15" t="s">
        <v>55</v>
      </c>
      <c r="J4" s="15" t="s">
        <v>56</v>
      </c>
      <c r="K4" s="15" t="s">
        <v>57</v>
      </c>
      <c r="L4" s="2"/>
      <c r="M4" s="2"/>
      <c r="N4" s="2"/>
      <c r="O4" s="2"/>
      <c r="P4" s="2"/>
      <c r="Q4" s="2"/>
      <c r="R4" s="2"/>
      <c r="S4" s="2"/>
    </row>
    <row r="5" customFormat="false" ht="21.75" hidden="false" customHeight="true" outlineLevel="0" collapsed="false">
      <c r="A5" s="2"/>
      <c r="B5" s="32" t="s">
        <v>58</v>
      </c>
      <c r="C5" s="23" t="n">
        <v>9609400</v>
      </c>
      <c r="D5" s="40" t="n">
        <v>10089640</v>
      </c>
      <c r="E5" s="40" t="n">
        <v>10397840</v>
      </c>
      <c r="F5" s="41" t="n">
        <f aca="false">C5/D5-1</f>
        <v>-0.0475973374669463</v>
      </c>
      <c r="G5" s="41" t="n">
        <f aca="false">D5/E5-1</f>
        <v>-0.0296407715448593</v>
      </c>
      <c r="H5" s="40" t="n">
        <f aca="false">C5-D5</f>
        <v>-480240</v>
      </c>
      <c r="I5" s="40" t="n">
        <f aca="false">D5-E5</f>
        <v>-308200</v>
      </c>
      <c r="J5" s="42" t="n">
        <v>309980.64516129</v>
      </c>
      <c r="K5" s="40" t="n">
        <v>336321.333333333</v>
      </c>
      <c r="L5" s="2"/>
      <c r="M5" s="2"/>
      <c r="N5" s="2"/>
      <c r="O5" s="2"/>
      <c r="P5" s="2"/>
      <c r="Q5" s="2"/>
      <c r="R5" s="2"/>
      <c r="S5" s="2"/>
    </row>
    <row r="6" customFormat="false" ht="19.5" hidden="false" customHeight="true" outlineLevel="0" collapsed="false">
      <c r="A6" s="2"/>
      <c r="B6" s="43" t="s">
        <v>59</v>
      </c>
      <c r="C6" s="18" t="n">
        <v>3220460</v>
      </c>
      <c r="D6" s="18" t="n">
        <v>3670340</v>
      </c>
      <c r="E6" s="18" t="n">
        <v>3317520</v>
      </c>
      <c r="F6" s="19" t="n">
        <f aca="false">C6/D6-1</f>
        <v>-0.122571750845971</v>
      </c>
      <c r="G6" s="19" t="n">
        <f aca="false">D6/E6-1</f>
        <v>0.106350526899612</v>
      </c>
      <c r="H6" s="18" t="n">
        <f aca="false">C6-D6</f>
        <v>-449880</v>
      </c>
      <c r="I6" s="18" t="n">
        <f aca="false">D6-E6</f>
        <v>352820</v>
      </c>
      <c r="J6" s="44" t="n">
        <v>103885.806451613</v>
      </c>
      <c r="K6" s="44" t="n">
        <v>122344.666666667</v>
      </c>
      <c r="L6" s="2"/>
      <c r="M6" s="2"/>
      <c r="N6" s="2"/>
      <c r="O6" s="2"/>
      <c r="P6" s="2"/>
      <c r="Q6" s="2"/>
      <c r="R6" s="2"/>
      <c r="S6" s="2"/>
    </row>
    <row r="7" customFormat="false" ht="19.5" hidden="false" customHeight="true" outlineLevel="0" collapsed="false">
      <c r="A7" s="2"/>
      <c r="B7" s="45" t="s">
        <v>60</v>
      </c>
      <c r="C7" s="24" t="n">
        <v>2526320</v>
      </c>
      <c r="D7" s="24" t="n">
        <v>3116960</v>
      </c>
      <c r="E7" s="24" t="n">
        <v>3131220</v>
      </c>
      <c r="F7" s="25" t="n">
        <f aca="false">C7/D7-1</f>
        <v>-0.189492325855962</v>
      </c>
      <c r="G7" s="25" t="n">
        <f aca="false">D7/E7-1</f>
        <v>-0.00455413544880268</v>
      </c>
      <c r="H7" s="24" t="n">
        <f aca="false">C7-D7</f>
        <v>-590640</v>
      </c>
      <c r="I7" s="24" t="n">
        <f aca="false">D7-E7</f>
        <v>-14260</v>
      </c>
      <c r="J7" s="46" t="n">
        <v>81494.1935483871</v>
      </c>
      <c r="K7" s="46" t="n">
        <v>103898.666666667</v>
      </c>
      <c r="L7" s="2"/>
      <c r="M7" s="2"/>
      <c r="N7" s="2"/>
      <c r="O7" s="2"/>
      <c r="P7" s="2"/>
      <c r="Q7" s="2"/>
      <c r="R7" s="2"/>
      <c r="S7" s="2"/>
    </row>
    <row r="8" customFormat="false" ht="19.5" hidden="false" customHeight="true" outlineLevel="0" collapsed="false">
      <c r="A8" s="2"/>
      <c r="B8" s="47" t="s">
        <v>61</v>
      </c>
      <c r="C8" s="18" t="n">
        <v>3862620</v>
      </c>
      <c r="D8" s="18" t="n">
        <v>3302340</v>
      </c>
      <c r="E8" s="18" t="n">
        <v>3949100</v>
      </c>
      <c r="F8" s="19" t="n">
        <f aca="false">C8/D8-1</f>
        <v>0.169661512745508</v>
      </c>
      <c r="G8" s="19" t="n">
        <f aca="false">D8/E8-1</f>
        <v>-0.16377402446127</v>
      </c>
      <c r="H8" s="18" t="n">
        <f aca="false">C8-D8</f>
        <v>560280</v>
      </c>
      <c r="I8" s="18" t="n">
        <f aca="false">D8-E8</f>
        <v>-646760</v>
      </c>
      <c r="J8" s="44" t="n">
        <v>124600.64516129</v>
      </c>
      <c r="K8" s="44" t="n">
        <v>110078</v>
      </c>
      <c r="L8" s="2"/>
      <c r="M8" s="2"/>
      <c r="N8" s="2"/>
      <c r="O8" s="2"/>
      <c r="P8" s="2"/>
      <c r="Q8" s="2"/>
      <c r="R8" s="2"/>
      <c r="S8" s="2"/>
    </row>
    <row r="9" customFormat="false" ht="1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customFormat="false" ht="1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customFormat="false" ht="1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customFormat="false" ht="24" hidden="false" customHeight="true" outlineLevel="0" collapsed="false">
      <c r="A12" s="2"/>
      <c r="B12" s="39" t="s">
        <v>62</v>
      </c>
      <c r="C12" s="39"/>
      <c r="D12" s="39"/>
      <c r="E12" s="39"/>
      <c r="F12" s="39"/>
      <c r="G12" s="39"/>
      <c r="H12" s="39"/>
      <c r="I12" s="39"/>
      <c r="J12" s="39"/>
      <c r="K12" s="39"/>
      <c r="L12" s="2"/>
      <c r="M12" s="2"/>
      <c r="N12" s="2"/>
      <c r="O12" s="2"/>
      <c r="P12" s="2"/>
      <c r="Q12" s="2"/>
      <c r="R12" s="2"/>
      <c r="S12" s="2"/>
    </row>
    <row r="13" customFormat="false" ht="27.75" hidden="false" customHeight="true" outlineLevel="0" collapsed="false">
      <c r="A13" s="2"/>
      <c r="B13" s="15"/>
      <c r="C13" s="15" t="s">
        <v>49</v>
      </c>
      <c r="D13" s="15" t="s">
        <v>50</v>
      </c>
      <c r="E13" s="15" t="s">
        <v>51</v>
      </c>
      <c r="F13" s="15" t="s">
        <v>52</v>
      </c>
      <c r="G13" s="15" t="s">
        <v>53</v>
      </c>
      <c r="H13" s="15" t="s">
        <v>54</v>
      </c>
      <c r="I13" s="15" t="s">
        <v>55</v>
      </c>
      <c r="J13" s="15" t="s">
        <v>56</v>
      </c>
      <c r="K13" s="15" t="s">
        <v>57</v>
      </c>
      <c r="L13" s="2"/>
      <c r="M13" s="2"/>
      <c r="N13" s="2"/>
      <c r="O13" s="2"/>
      <c r="P13" s="2"/>
      <c r="Q13" s="2"/>
      <c r="R13" s="2"/>
      <c r="S13" s="2"/>
    </row>
    <row r="14" customFormat="false" ht="21.75" hidden="false" customHeight="true" outlineLevel="0" collapsed="false">
      <c r="A14" s="2"/>
      <c r="B14" s="32" t="s">
        <v>58</v>
      </c>
      <c r="C14" s="23" t="n">
        <v>171212</v>
      </c>
      <c r="D14" s="40" t="n">
        <v>167716</v>
      </c>
      <c r="E14" s="40" t="n">
        <v>181056</v>
      </c>
      <c r="F14" s="41" t="n">
        <f aca="false">C14/D14-1</f>
        <v>0.0208447613823368</v>
      </c>
      <c r="G14" s="41" t="n">
        <f aca="false">D14/E14-1</f>
        <v>-0.0736788617886179</v>
      </c>
      <c r="H14" s="40" t="n">
        <f aca="false">C14-D14</f>
        <v>3496</v>
      </c>
      <c r="I14" s="40" t="n">
        <f aca="false">D14-E14</f>
        <v>-13340</v>
      </c>
      <c r="J14" s="42" t="n">
        <v>5522.96774193548</v>
      </c>
      <c r="K14" s="40" t="n">
        <v>5590.53333333333</v>
      </c>
      <c r="L14" s="2"/>
      <c r="M14" s="2"/>
      <c r="N14" s="2"/>
      <c r="O14" s="2"/>
      <c r="P14" s="2"/>
      <c r="Q14" s="2"/>
      <c r="R14" s="2"/>
      <c r="S14" s="2"/>
    </row>
    <row r="15" customFormat="false" ht="19.5" hidden="false" customHeight="true" outlineLevel="0" collapsed="false">
      <c r="A15" s="2"/>
      <c r="B15" s="43" t="s">
        <v>59</v>
      </c>
      <c r="C15" s="18" t="n">
        <v>58328</v>
      </c>
      <c r="D15" s="18" t="n">
        <v>58328</v>
      </c>
      <c r="E15" s="18" t="n">
        <v>56764</v>
      </c>
      <c r="F15" s="19" t="n">
        <f aca="false">C15/D15-1</f>
        <v>0</v>
      </c>
      <c r="G15" s="19" t="n">
        <f aca="false">D15/E15-1</f>
        <v>0.027552674230146</v>
      </c>
      <c r="H15" s="18" t="n">
        <f aca="false">C15-D15</f>
        <v>0</v>
      </c>
      <c r="I15" s="18" t="n">
        <f aca="false">D15-E15</f>
        <v>1564</v>
      </c>
      <c r="J15" s="44" t="n">
        <v>1881.54838709677</v>
      </c>
      <c r="K15" s="44" t="n">
        <v>1944.26666666667</v>
      </c>
      <c r="L15" s="2"/>
      <c r="M15" s="2"/>
      <c r="N15" s="2"/>
      <c r="O15" s="2"/>
      <c r="P15" s="2"/>
      <c r="Q15" s="2"/>
      <c r="R15" s="2"/>
      <c r="S15" s="2"/>
    </row>
    <row r="16" customFormat="false" ht="19.5" hidden="false" customHeight="true" outlineLevel="0" collapsed="false">
      <c r="A16" s="2"/>
      <c r="B16" s="45" t="s">
        <v>60</v>
      </c>
      <c r="C16" s="24" t="n">
        <v>42872</v>
      </c>
      <c r="D16" s="24" t="n">
        <v>50508</v>
      </c>
      <c r="E16" s="24" t="n">
        <v>54556</v>
      </c>
      <c r="F16" s="25" t="n">
        <f aca="false">C16/D16-1</f>
        <v>-0.151183970856102</v>
      </c>
      <c r="G16" s="25" t="n">
        <f aca="false">D16/E16-1</f>
        <v>-0.0741989881956156</v>
      </c>
      <c r="H16" s="24" t="n">
        <f aca="false">C16-D16</f>
        <v>-7636</v>
      </c>
      <c r="I16" s="24" t="n">
        <f aca="false">D16-E16</f>
        <v>-4048</v>
      </c>
      <c r="J16" s="46" t="n">
        <v>1382.96774193548</v>
      </c>
      <c r="K16" s="46" t="n">
        <v>1683.6</v>
      </c>
      <c r="L16" s="2"/>
      <c r="M16" s="2"/>
      <c r="N16" s="2"/>
      <c r="O16" s="2"/>
      <c r="P16" s="2"/>
      <c r="Q16" s="2"/>
      <c r="R16" s="2"/>
      <c r="S16" s="2"/>
    </row>
    <row r="17" customFormat="false" ht="19.5" hidden="false" customHeight="true" outlineLevel="0" collapsed="false">
      <c r="A17" s="2"/>
      <c r="B17" s="47" t="s">
        <v>61</v>
      </c>
      <c r="C17" s="18" t="n">
        <v>70012</v>
      </c>
      <c r="D17" s="18" t="n">
        <v>58880</v>
      </c>
      <c r="E17" s="18" t="n">
        <v>69736</v>
      </c>
      <c r="F17" s="19" t="n">
        <f aca="false">C17/D17-1</f>
        <v>0.1890625</v>
      </c>
      <c r="G17" s="19" t="n">
        <f aca="false">D17/E17-1</f>
        <v>-0.155672823218997</v>
      </c>
      <c r="H17" s="18" t="n">
        <f aca="false">C17-D17</f>
        <v>11132</v>
      </c>
      <c r="I17" s="18" t="n">
        <f aca="false">D17-E17</f>
        <v>-10856</v>
      </c>
      <c r="J17" s="44" t="n">
        <v>2258.45161290323</v>
      </c>
      <c r="K17" s="44" t="n">
        <v>1962.66666666667</v>
      </c>
      <c r="L17" s="2"/>
      <c r="M17" s="2"/>
      <c r="N17" s="2"/>
      <c r="O17" s="2"/>
      <c r="P17" s="2"/>
      <c r="Q17" s="2"/>
      <c r="R17" s="2"/>
      <c r="S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customFormat="false" ht="24" hidden="false" customHeight="true" outlineLevel="0" collapsed="false">
      <c r="A21" s="2"/>
      <c r="B21" s="39" t="s">
        <v>63</v>
      </c>
      <c r="C21" s="39"/>
      <c r="D21" s="39"/>
      <c r="E21" s="39"/>
      <c r="F21" s="39"/>
      <c r="G21" s="39"/>
      <c r="H21" s="39"/>
      <c r="I21" s="39"/>
      <c r="J21" s="39"/>
      <c r="K21" s="39"/>
      <c r="L21" s="2"/>
      <c r="M21" s="2"/>
      <c r="N21" s="2"/>
      <c r="O21" s="2"/>
      <c r="P21" s="2"/>
      <c r="Q21" s="2"/>
      <c r="R21" s="2"/>
      <c r="S21" s="2"/>
    </row>
    <row r="22" customFormat="false" ht="27.75" hidden="false" customHeight="true" outlineLevel="0" collapsed="false">
      <c r="A22" s="2"/>
      <c r="B22" s="15"/>
      <c r="C22" s="15" t="s">
        <v>49</v>
      </c>
      <c r="D22" s="15" t="s">
        <v>50</v>
      </c>
      <c r="E22" s="15" t="s">
        <v>51</v>
      </c>
      <c r="F22" s="15" t="s">
        <v>52</v>
      </c>
      <c r="G22" s="15" t="s">
        <v>53</v>
      </c>
      <c r="H22" s="15" t="s">
        <v>54</v>
      </c>
      <c r="I22" s="15" t="s">
        <v>55</v>
      </c>
      <c r="J22" s="15" t="s">
        <v>56</v>
      </c>
      <c r="K22" s="15" t="s">
        <v>57</v>
      </c>
      <c r="L22" s="2"/>
      <c r="M22" s="2"/>
      <c r="N22" s="2"/>
      <c r="O22" s="2"/>
      <c r="P22" s="2"/>
      <c r="Q22" s="2"/>
      <c r="R22" s="2"/>
      <c r="S22" s="2"/>
    </row>
    <row r="23" customFormat="false" ht="21.75" hidden="false" customHeight="true" outlineLevel="0" collapsed="false">
      <c r="A23" s="2"/>
      <c r="B23" s="32" t="s">
        <v>58</v>
      </c>
      <c r="C23" s="23" t="n">
        <v>4894124</v>
      </c>
      <c r="D23" s="40" t="n">
        <v>4722820</v>
      </c>
      <c r="E23" s="40" t="n">
        <v>5116948</v>
      </c>
      <c r="F23" s="41" t="n">
        <f aca="false">C23/D23-1</f>
        <v>0.0362715496250121</v>
      </c>
      <c r="G23" s="41" t="n">
        <f aca="false">D23/E23-1</f>
        <v>-0.0770240385479782</v>
      </c>
      <c r="H23" s="40" t="n">
        <f aca="false">C23-D23</f>
        <v>171304</v>
      </c>
      <c r="I23" s="40" t="n">
        <f aca="false">D23-E23</f>
        <v>-394128</v>
      </c>
      <c r="J23" s="42" t="n">
        <v>157874.967741936</v>
      </c>
      <c r="K23" s="40" t="n">
        <v>157427.333333333</v>
      </c>
      <c r="L23" s="2"/>
      <c r="M23" s="2"/>
      <c r="N23" s="2"/>
      <c r="O23" s="2"/>
      <c r="P23" s="2"/>
      <c r="Q23" s="2"/>
      <c r="R23" s="2"/>
      <c r="S23" s="2"/>
    </row>
    <row r="24" customFormat="false" ht="19.5" hidden="false" customHeight="true" outlineLevel="0" collapsed="false">
      <c r="A24" s="2"/>
      <c r="B24" s="43" t="s">
        <v>59</v>
      </c>
      <c r="C24" s="18" t="n">
        <v>1676884</v>
      </c>
      <c r="D24" s="18" t="n">
        <v>1601996</v>
      </c>
      <c r="E24" s="18" t="n">
        <v>1509812</v>
      </c>
      <c r="F24" s="19" t="n">
        <f aca="false">C24/D24-1</f>
        <v>0.0467466835123185</v>
      </c>
      <c r="G24" s="19" t="n">
        <f aca="false">D24/E24-1</f>
        <v>0.0610566083724331</v>
      </c>
      <c r="H24" s="18" t="n">
        <f aca="false">C24-D24</f>
        <v>74888</v>
      </c>
      <c r="I24" s="18" t="n">
        <f aca="false">D24-E24</f>
        <v>92184</v>
      </c>
      <c r="J24" s="44" t="n">
        <v>54093.0322580645</v>
      </c>
      <c r="K24" s="44" t="n">
        <v>53399.8666666667</v>
      </c>
      <c r="L24" s="2"/>
      <c r="M24" s="2"/>
      <c r="N24" s="2"/>
      <c r="O24" s="2"/>
      <c r="P24" s="2"/>
      <c r="Q24" s="2"/>
      <c r="R24" s="2"/>
      <c r="S24" s="2"/>
    </row>
    <row r="25" customFormat="false" ht="19.5" hidden="false" customHeight="true" outlineLevel="0" collapsed="false">
      <c r="A25" s="2"/>
      <c r="B25" s="45" t="s">
        <v>60</v>
      </c>
      <c r="C25" s="24" t="n">
        <v>1207776</v>
      </c>
      <c r="D25" s="24" t="n">
        <v>1192872</v>
      </c>
      <c r="E25" s="24" t="n">
        <v>1599604</v>
      </c>
      <c r="F25" s="25" t="n">
        <f aca="false">C25/D25-1</f>
        <v>0.0124942156409069</v>
      </c>
      <c r="G25" s="25" t="n">
        <f aca="false">D25/E25-1</f>
        <v>-0.254270431931903</v>
      </c>
      <c r="H25" s="24" t="n">
        <f aca="false">C25-D25</f>
        <v>14904</v>
      </c>
      <c r="I25" s="24" t="n">
        <f aca="false">D25-E25</f>
        <v>-406732</v>
      </c>
      <c r="J25" s="46" t="n">
        <v>38960.5161290323</v>
      </c>
      <c r="K25" s="46" t="n">
        <v>39762.4</v>
      </c>
      <c r="L25" s="2"/>
      <c r="M25" s="2"/>
      <c r="N25" s="2"/>
      <c r="O25" s="2"/>
      <c r="P25" s="2"/>
      <c r="Q25" s="2"/>
      <c r="R25" s="2"/>
      <c r="S25" s="2"/>
    </row>
    <row r="26" customFormat="false" ht="19.5" hidden="false" customHeight="true" outlineLevel="0" collapsed="false">
      <c r="A26" s="2"/>
      <c r="B26" s="47" t="s">
        <v>61</v>
      </c>
      <c r="C26" s="18" t="n">
        <v>2009464</v>
      </c>
      <c r="D26" s="18" t="n">
        <v>1927952</v>
      </c>
      <c r="E26" s="18" t="n">
        <v>2007532</v>
      </c>
      <c r="F26" s="19" t="n">
        <f aca="false">C26/D26-1</f>
        <v>0.0422790608894827</v>
      </c>
      <c r="G26" s="19" t="n">
        <f aca="false">D26/E26-1</f>
        <v>-0.0396407130745612</v>
      </c>
      <c r="H26" s="18" t="n">
        <f aca="false">C26-D26</f>
        <v>81512</v>
      </c>
      <c r="I26" s="18" t="n">
        <f aca="false">D26-E26</f>
        <v>-79580</v>
      </c>
      <c r="J26" s="44" t="n">
        <v>64821.4193548387</v>
      </c>
      <c r="K26" s="44" t="n">
        <v>64265.0666666667</v>
      </c>
      <c r="L26" s="2"/>
      <c r="M26" s="2"/>
      <c r="N26" s="2"/>
      <c r="O26" s="2"/>
      <c r="P26" s="2"/>
      <c r="Q26" s="2"/>
      <c r="R26" s="2"/>
      <c r="S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customFormat="false" ht="24" hidden="false" customHeight="true" outlineLevel="0" collapsed="false">
      <c r="A30" s="2"/>
      <c r="B30" s="39" t="s">
        <v>64</v>
      </c>
      <c r="C30" s="39"/>
      <c r="D30" s="39"/>
      <c r="E30" s="39"/>
      <c r="F30" s="39"/>
      <c r="G30" s="39"/>
      <c r="H30" s="39"/>
      <c r="I30" s="39"/>
      <c r="J30" s="39"/>
      <c r="K30" s="39"/>
      <c r="L30" s="2"/>
      <c r="M30" s="2"/>
      <c r="N30" s="2"/>
      <c r="O30" s="2"/>
      <c r="P30" s="2"/>
      <c r="Q30" s="2"/>
      <c r="R30" s="2"/>
      <c r="S30" s="2"/>
    </row>
    <row r="31" customFormat="false" ht="27.75" hidden="false" customHeight="true" outlineLevel="0" collapsed="false">
      <c r="A31" s="2"/>
      <c r="B31" s="15"/>
      <c r="C31" s="15" t="s">
        <v>49</v>
      </c>
      <c r="D31" s="15" t="s">
        <v>50</v>
      </c>
      <c r="E31" s="15" t="s">
        <v>51</v>
      </c>
      <c r="F31" s="15" t="s">
        <v>52</v>
      </c>
      <c r="G31" s="15" t="s">
        <v>53</v>
      </c>
      <c r="H31" s="15" t="s">
        <v>54</v>
      </c>
      <c r="I31" s="15" t="s">
        <v>55</v>
      </c>
      <c r="J31" s="15" t="s">
        <v>56</v>
      </c>
      <c r="K31" s="15" t="s">
        <v>57</v>
      </c>
      <c r="L31" s="2"/>
      <c r="M31" s="2"/>
      <c r="N31" s="2"/>
      <c r="O31" s="2"/>
      <c r="P31" s="2"/>
      <c r="Q31" s="2"/>
      <c r="R31" s="2"/>
      <c r="S31" s="2"/>
    </row>
    <row r="32" customFormat="false" ht="21.75" hidden="false" customHeight="true" outlineLevel="0" collapsed="false">
      <c r="A32" s="2"/>
      <c r="B32" s="32" t="s">
        <v>58</v>
      </c>
      <c r="C32" s="23" t="n">
        <v>166704</v>
      </c>
      <c r="D32" s="40" t="n">
        <v>174616</v>
      </c>
      <c r="E32" s="40" t="n">
        <v>177284</v>
      </c>
      <c r="F32" s="41" t="n">
        <f aca="false">C32/D32-1</f>
        <v>-0.0453108535300316</v>
      </c>
      <c r="G32" s="41" t="n">
        <f aca="false">D32/E32-1</f>
        <v>-0.0150492994291646</v>
      </c>
      <c r="H32" s="40" t="n">
        <f aca="false">C32-D32</f>
        <v>-7912</v>
      </c>
      <c r="I32" s="40" t="n">
        <f aca="false">D32-E32</f>
        <v>-2668</v>
      </c>
      <c r="J32" s="42" t="n">
        <v>5377.54838709678</v>
      </c>
      <c r="K32" s="40" t="n">
        <v>5820.53333333333</v>
      </c>
      <c r="L32" s="2"/>
      <c r="M32" s="2"/>
      <c r="N32" s="2"/>
      <c r="O32" s="2"/>
      <c r="P32" s="2"/>
      <c r="Q32" s="2"/>
      <c r="R32" s="2"/>
      <c r="S32" s="2"/>
    </row>
    <row r="33" customFormat="false" ht="19.5" hidden="false" customHeight="true" outlineLevel="0" collapsed="false">
      <c r="A33" s="2"/>
      <c r="B33" s="43" t="s">
        <v>59</v>
      </c>
      <c r="C33" s="18" t="n">
        <v>55476</v>
      </c>
      <c r="D33" s="18" t="n">
        <v>59800</v>
      </c>
      <c r="E33" s="18" t="n">
        <v>52992</v>
      </c>
      <c r="F33" s="19" t="n">
        <f aca="false">C33/D33-1</f>
        <v>-0.0723076923076923</v>
      </c>
      <c r="G33" s="19" t="n">
        <f aca="false">D33/E33-1</f>
        <v>0.128472222222222</v>
      </c>
      <c r="H33" s="18" t="n">
        <f aca="false">C33-D33</f>
        <v>-4324</v>
      </c>
      <c r="I33" s="18" t="n">
        <f aca="false">D33-E33</f>
        <v>6808</v>
      </c>
      <c r="J33" s="44" t="n">
        <v>1789.54838709677</v>
      </c>
      <c r="K33" s="44" t="n">
        <v>1993.33333333333</v>
      </c>
      <c r="L33" s="2"/>
      <c r="M33" s="2"/>
      <c r="N33" s="2"/>
      <c r="O33" s="2"/>
      <c r="P33" s="2"/>
      <c r="Q33" s="2"/>
      <c r="R33" s="2"/>
      <c r="S33" s="2"/>
    </row>
    <row r="34" customFormat="false" ht="19.5" hidden="false" customHeight="true" outlineLevel="0" collapsed="false">
      <c r="A34" s="2"/>
      <c r="B34" s="45" t="s">
        <v>60</v>
      </c>
      <c r="C34" s="24" t="n">
        <v>44896</v>
      </c>
      <c r="D34" s="24" t="n">
        <v>56488</v>
      </c>
      <c r="E34" s="24" t="n">
        <v>60168</v>
      </c>
      <c r="F34" s="25" t="n">
        <f aca="false">C34/D34-1</f>
        <v>-0.205211726384365</v>
      </c>
      <c r="G34" s="25" t="n">
        <f aca="false">D34/E34-1</f>
        <v>-0.0611620795107034</v>
      </c>
      <c r="H34" s="24" t="n">
        <f aca="false">C34-D34</f>
        <v>-11592</v>
      </c>
      <c r="I34" s="24" t="n">
        <f aca="false">D34-E34</f>
        <v>-3680</v>
      </c>
      <c r="J34" s="46" t="n">
        <v>1448.25806451613</v>
      </c>
      <c r="K34" s="46" t="n">
        <v>1882.93333333333</v>
      </c>
      <c r="L34" s="2"/>
      <c r="M34" s="2"/>
      <c r="N34" s="2"/>
      <c r="O34" s="2"/>
      <c r="P34" s="2"/>
      <c r="Q34" s="2"/>
      <c r="R34" s="2"/>
      <c r="S34" s="2"/>
    </row>
    <row r="35" customFormat="false" ht="19.5" hidden="false" customHeight="true" outlineLevel="0" collapsed="false">
      <c r="A35" s="2"/>
      <c r="B35" s="47" t="s">
        <v>61</v>
      </c>
      <c r="C35" s="18" t="n">
        <v>66332</v>
      </c>
      <c r="D35" s="18" t="n">
        <v>58328</v>
      </c>
      <c r="E35" s="18" t="n">
        <v>64124</v>
      </c>
      <c r="F35" s="19" t="n">
        <f aca="false">C35/D35-1</f>
        <v>0.137223974763407</v>
      </c>
      <c r="G35" s="19" t="n">
        <f aca="false">D35/E35-1</f>
        <v>-0.0903873744619799</v>
      </c>
      <c r="H35" s="18" t="n">
        <f aca="false">C35-D35</f>
        <v>8004</v>
      </c>
      <c r="I35" s="18" t="n">
        <f aca="false">D35-E35</f>
        <v>-5796</v>
      </c>
      <c r="J35" s="44" t="n">
        <v>2139.74193548387</v>
      </c>
      <c r="K35" s="44" t="n">
        <v>1944.26666666667</v>
      </c>
      <c r="L35" s="2"/>
      <c r="M35" s="2"/>
      <c r="N35" s="2"/>
      <c r="O35" s="2"/>
      <c r="P35" s="2"/>
      <c r="Q35" s="2"/>
      <c r="R35" s="2"/>
      <c r="S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customFormat="false" ht="1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customFormat="false" ht="1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customFormat="false" ht="1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customFormat="false" ht="1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customFormat="false" ht="1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customFormat="false" ht="1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customFormat="false" ht="1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customFormat="false" ht="1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customFormat="false" ht="1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customFormat="false" ht="1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customFormat="false" ht="1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customFormat="false" ht="1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customFormat="false" ht="1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customFormat="false" ht="1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customFormat="false" ht="1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customFormat="false" ht="1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customFormat="false" ht="1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customFormat="false" ht="1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customFormat="false" ht="1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customFormat="false" ht="1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customFormat="false" ht="1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customFormat="false" ht="1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customFormat="false" ht="1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customFormat="false" ht="1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customFormat="false" ht="1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customFormat="false" ht="1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customFormat="false" ht="1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customFormat="false" ht="1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customFormat="false" ht="1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customFormat="false" ht="1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customFormat="false" ht="1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customFormat="false" ht="1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customFormat="false" ht="1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customFormat="false" ht="1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customFormat="false" ht="1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customFormat="false" ht="1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customFormat="false" ht="1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customFormat="false" ht="1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customFormat="false" ht="1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customFormat="false" ht="1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customFormat="false" ht="1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customFormat="false" ht="1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customFormat="false" ht="1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customFormat="false" ht="1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customFormat="false" ht="1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customFormat="false" ht="1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customFormat="false" ht="1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customFormat="false" ht="1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customFormat="false" ht="1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customFormat="false" ht="1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customFormat="false" ht="1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customFormat="false" ht="1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customFormat="false" ht="1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customFormat="false" ht="1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customFormat="false" ht="1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customFormat="false" ht="1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customFormat="false" ht="1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customFormat="false" ht="1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customFormat="false" ht="1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customFormat="false" ht="1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</sheetData>
  <mergeCells count="5">
    <mergeCell ref="A1:L1"/>
    <mergeCell ref="B3:K3"/>
    <mergeCell ref="B12:K12"/>
    <mergeCell ref="B21:K21"/>
    <mergeCell ref="B30:K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9D353"/>
    <pageSetUpPr fitToPage="false"/>
  </sheetPr>
  <dimension ref="A1:S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3"/>
    <col collapsed="false" customWidth="true" hidden="false" outlineLevel="0" max="3" min="3" style="1" width="17"/>
    <col collapsed="false" customWidth="true" hidden="false" outlineLevel="0" max="6" min="4" style="1" width="13"/>
    <col collapsed="false" customWidth="true" hidden="false" outlineLevel="0" max="7" min="7" style="1" width="3"/>
    <col collapsed="false" customWidth="true" hidden="false" outlineLevel="0" max="35" min="8" style="0" width="3.5"/>
  </cols>
  <sheetData>
    <row r="1" customFormat="false" ht="36" hidden="false" customHeight="true" outlineLevel="0" collapsed="false">
      <c r="A1" s="38" t="s">
        <v>65</v>
      </c>
      <c r="B1" s="38"/>
      <c r="C1" s="38"/>
      <c r="D1" s="38"/>
      <c r="E1" s="38"/>
      <c r="F1" s="38"/>
      <c r="G1" s="38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4" hidden="false" customHeight="true" outlineLevel="0" collapsed="false">
      <c r="A2" s="2"/>
      <c r="B2" s="48" t="s">
        <v>66</v>
      </c>
      <c r="C2" s="48" t="s">
        <v>19</v>
      </c>
      <c r="D2" s="48" t="s">
        <v>20</v>
      </c>
      <c r="E2" s="48" t="s">
        <v>21</v>
      </c>
      <c r="F2" s="48" t="s">
        <v>22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6.5" hidden="false" customHeight="true" outlineLevel="0" collapsed="false">
      <c r="A3" s="2"/>
      <c r="B3" s="49" t="s">
        <v>67</v>
      </c>
      <c r="C3" s="50" t="n">
        <v>457700</v>
      </c>
      <c r="D3" s="50" t="n">
        <v>6164</v>
      </c>
      <c r="E3" s="50" t="n">
        <v>237268</v>
      </c>
      <c r="F3" s="50" t="n">
        <v>5796</v>
      </c>
      <c r="G3" s="2"/>
      <c r="H3" s="51" t="n">
        <v>46082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6.5" hidden="false" customHeight="true" outlineLevel="0" collapsed="false">
      <c r="A4" s="2"/>
      <c r="B4" s="49" t="s">
        <v>68</v>
      </c>
      <c r="C4" s="50" t="n">
        <v>335800</v>
      </c>
      <c r="D4" s="50" t="n">
        <v>7360</v>
      </c>
      <c r="E4" s="50" t="n">
        <v>154376</v>
      </c>
      <c r="F4" s="50" t="n">
        <v>5704</v>
      </c>
      <c r="G4" s="2"/>
      <c r="H4" s="51" t="n">
        <v>46083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6.5" hidden="false" customHeight="true" outlineLevel="0" collapsed="false">
      <c r="A5" s="2"/>
      <c r="B5" s="49" t="s">
        <v>69</v>
      </c>
      <c r="C5" s="50" t="n">
        <v>340400</v>
      </c>
      <c r="D5" s="50" t="n">
        <v>6900</v>
      </c>
      <c r="E5" s="50" t="n">
        <v>261924</v>
      </c>
      <c r="F5" s="50" t="n">
        <v>4048</v>
      </c>
      <c r="G5" s="2"/>
      <c r="H5" s="51" t="n">
        <v>46084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6.5" hidden="false" customHeight="true" outlineLevel="0" collapsed="false">
      <c r="A6" s="2"/>
      <c r="B6" s="49" t="s">
        <v>70</v>
      </c>
      <c r="C6" s="50" t="n">
        <v>330740</v>
      </c>
      <c r="D6" s="50" t="n">
        <v>8280</v>
      </c>
      <c r="E6" s="50" t="n">
        <v>245364</v>
      </c>
      <c r="F6" s="50" t="n">
        <v>6164</v>
      </c>
      <c r="G6" s="2"/>
      <c r="H6" s="51" t="n">
        <v>46085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customFormat="false" ht="16.5" hidden="false" customHeight="true" outlineLevel="0" collapsed="false">
      <c r="A7" s="2"/>
      <c r="B7" s="49" t="s">
        <v>71</v>
      </c>
      <c r="C7" s="50" t="n">
        <v>270480</v>
      </c>
      <c r="D7" s="50" t="n">
        <v>5796</v>
      </c>
      <c r="E7" s="50" t="n">
        <v>155296</v>
      </c>
      <c r="F7" s="50" t="n">
        <v>4876</v>
      </c>
      <c r="G7" s="2"/>
      <c r="H7" s="51" t="n">
        <v>46086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customFormat="false" ht="16.5" hidden="false" customHeight="true" outlineLevel="0" collapsed="false">
      <c r="A8" s="2"/>
      <c r="B8" s="49" t="s">
        <v>72</v>
      </c>
      <c r="C8" s="50" t="n">
        <v>202400</v>
      </c>
      <c r="D8" s="50" t="n">
        <v>4784</v>
      </c>
      <c r="E8" s="50" t="n">
        <v>152812</v>
      </c>
      <c r="F8" s="50" t="n">
        <v>5060</v>
      </c>
      <c r="G8" s="2"/>
      <c r="H8" s="51" t="n">
        <v>46087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customFormat="false" ht="16.5" hidden="false" customHeight="true" outlineLevel="0" collapsed="false">
      <c r="A9" s="2"/>
      <c r="B9" s="49" t="s">
        <v>73</v>
      </c>
      <c r="C9" s="50" t="n">
        <v>356040</v>
      </c>
      <c r="D9" s="50" t="n">
        <v>5244</v>
      </c>
      <c r="E9" s="50" t="n">
        <v>176732</v>
      </c>
      <c r="F9" s="50" t="n">
        <v>6624</v>
      </c>
      <c r="G9" s="2"/>
      <c r="H9" s="51" t="n">
        <v>46088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customFormat="false" ht="16.5" hidden="false" customHeight="true" outlineLevel="0" collapsed="false">
      <c r="A10" s="2"/>
      <c r="B10" s="49" t="s">
        <v>74</v>
      </c>
      <c r="C10" s="50" t="n">
        <v>402040</v>
      </c>
      <c r="D10" s="50" t="n">
        <v>6532</v>
      </c>
      <c r="E10" s="50" t="n">
        <v>220800</v>
      </c>
      <c r="F10" s="50" t="n">
        <v>5612</v>
      </c>
      <c r="G10" s="2"/>
      <c r="H10" s="51" t="n">
        <v>46089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customFormat="false" ht="16.5" hidden="false" customHeight="true" outlineLevel="0" collapsed="false">
      <c r="A11" s="2"/>
      <c r="B11" s="49" t="s">
        <v>75</v>
      </c>
      <c r="C11" s="50" t="n">
        <v>571780</v>
      </c>
      <c r="D11" s="50" t="n">
        <v>4692</v>
      </c>
      <c r="E11" s="50" t="n">
        <v>127144</v>
      </c>
      <c r="F11" s="50" t="n">
        <v>8004</v>
      </c>
      <c r="G11" s="2"/>
      <c r="H11" s="51" t="n">
        <v>46090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customFormat="false" ht="16.5" hidden="false" customHeight="true" outlineLevel="0" collapsed="false">
      <c r="A12" s="2"/>
      <c r="B12" s="49" t="s">
        <v>76</v>
      </c>
      <c r="C12" s="50" t="n">
        <v>312800</v>
      </c>
      <c r="D12" s="50" t="n">
        <v>4416</v>
      </c>
      <c r="E12" s="50" t="n">
        <v>132664</v>
      </c>
      <c r="F12" s="50" t="n">
        <v>3772</v>
      </c>
      <c r="G12" s="2"/>
      <c r="H12" s="51" t="n">
        <v>46091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customFormat="false" ht="16.5" hidden="false" customHeight="true" outlineLevel="0" collapsed="false">
      <c r="A13" s="2"/>
      <c r="B13" s="49" t="s">
        <v>77</v>
      </c>
      <c r="C13" s="50" t="n">
        <v>324300</v>
      </c>
      <c r="D13" s="50" t="n">
        <v>6256</v>
      </c>
      <c r="E13" s="50" t="n">
        <v>84640</v>
      </c>
      <c r="F13" s="50" t="n">
        <v>7452</v>
      </c>
      <c r="G13" s="2"/>
      <c r="H13" s="51" t="n">
        <v>46092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customFormat="false" ht="16.5" hidden="false" customHeight="true" outlineLevel="0" collapsed="false">
      <c r="A14" s="2"/>
      <c r="B14" s="49" t="s">
        <v>78</v>
      </c>
      <c r="C14" s="50" t="n">
        <v>415380</v>
      </c>
      <c r="D14" s="50" t="n">
        <v>5796</v>
      </c>
      <c r="E14" s="50" t="n">
        <v>116196</v>
      </c>
      <c r="F14" s="50" t="n">
        <v>6716</v>
      </c>
      <c r="G14" s="2"/>
      <c r="H14" s="51" t="n">
        <v>46093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customFormat="false" ht="16.5" hidden="false" customHeight="true" outlineLevel="0" collapsed="false">
      <c r="A15" s="2"/>
      <c r="B15" s="49" t="s">
        <v>79</v>
      </c>
      <c r="C15" s="50" t="n">
        <v>146280</v>
      </c>
      <c r="D15" s="50" t="n">
        <v>5244</v>
      </c>
      <c r="E15" s="50" t="n">
        <v>86940</v>
      </c>
      <c r="F15" s="50" t="n">
        <v>2852</v>
      </c>
      <c r="G15" s="2"/>
      <c r="H15" s="51" t="n">
        <v>46094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customFormat="false" ht="16.5" hidden="false" customHeight="true" outlineLevel="0" collapsed="false">
      <c r="A16" s="2"/>
      <c r="B16" s="49" t="s">
        <v>80</v>
      </c>
      <c r="C16" s="50" t="n">
        <v>240580</v>
      </c>
      <c r="D16" s="50" t="n">
        <v>4048</v>
      </c>
      <c r="E16" s="50" t="n">
        <v>51704</v>
      </c>
      <c r="F16" s="50" t="n">
        <v>5060</v>
      </c>
      <c r="G16" s="2"/>
      <c r="H16" s="51" t="n">
        <v>46095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customFormat="false" ht="16.5" hidden="false" customHeight="true" outlineLevel="0" collapsed="false">
      <c r="A17" s="2"/>
      <c r="B17" s="49" t="s">
        <v>81</v>
      </c>
      <c r="C17" s="50" t="n">
        <v>326600</v>
      </c>
      <c r="D17" s="50" t="n">
        <v>5980</v>
      </c>
      <c r="E17" s="50" t="n">
        <v>176548</v>
      </c>
      <c r="F17" s="50" t="n">
        <v>4876</v>
      </c>
      <c r="G17" s="2"/>
      <c r="H17" s="51" t="n">
        <v>46096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customFormat="false" ht="16.5" hidden="false" customHeight="true" outlineLevel="0" collapsed="false">
      <c r="A18" s="2"/>
      <c r="B18" s="49" t="s">
        <v>82</v>
      </c>
      <c r="C18" s="50" t="n">
        <v>159160</v>
      </c>
      <c r="D18" s="50" t="n">
        <v>5704</v>
      </c>
      <c r="E18" s="50" t="n">
        <v>124752</v>
      </c>
      <c r="F18" s="50" t="n">
        <v>2944</v>
      </c>
      <c r="G18" s="2"/>
      <c r="H18" s="51" t="n">
        <v>46097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customFormat="false" ht="16.5" hidden="false" customHeight="true" outlineLevel="0" collapsed="false">
      <c r="A19" s="2"/>
      <c r="B19" s="49" t="s">
        <v>83</v>
      </c>
      <c r="C19" s="50" t="n">
        <v>365700</v>
      </c>
      <c r="D19" s="50" t="n">
        <v>4784</v>
      </c>
      <c r="E19" s="50" t="n">
        <v>57776</v>
      </c>
      <c r="F19" s="50" t="n">
        <v>5152</v>
      </c>
      <c r="G19" s="2"/>
      <c r="H19" s="51" t="n">
        <v>46098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customFormat="false" ht="16.5" hidden="false" customHeight="true" outlineLevel="0" collapsed="false">
      <c r="A20" s="2"/>
      <c r="B20" s="49" t="s">
        <v>84</v>
      </c>
      <c r="C20" s="50" t="n">
        <v>287960</v>
      </c>
      <c r="D20" s="50" t="n">
        <v>3496</v>
      </c>
      <c r="E20" s="50" t="n">
        <v>116288</v>
      </c>
      <c r="F20" s="50" t="n">
        <v>4232</v>
      </c>
      <c r="G20" s="2"/>
      <c r="H20" s="51" t="n">
        <v>46099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customFormat="false" ht="16.5" hidden="false" customHeight="true" outlineLevel="0" collapsed="false">
      <c r="A21" s="2"/>
      <c r="B21" s="49" t="s">
        <v>85</v>
      </c>
      <c r="C21" s="50" t="n">
        <v>204700</v>
      </c>
      <c r="D21" s="50" t="n">
        <v>6624</v>
      </c>
      <c r="E21" s="50" t="n">
        <v>216752</v>
      </c>
      <c r="F21" s="50" t="n">
        <v>5336</v>
      </c>
      <c r="G21" s="2"/>
      <c r="H21" s="51" t="n">
        <v>46100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customFormat="false" ht="16.5" hidden="false" customHeight="true" outlineLevel="0" collapsed="false">
      <c r="A22" s="2"/>
      <c r="B22" s="49" t="s">
        <v>86</v>
      </c>
      <c r="C22" s="50" t="n">
        <v>201940</v>
      </c>
      <c r="D22" s="50" t="n">
        <v>4232</v>
      </c>
      <c r="E22" s="50" t="n">
        <v>85376</v>
      </c>
      <c r="F22" s="50" t="n">
        <v>4508</v>
      </c>
      <c r="G22" s="2"/>
      <c r="H22" s="51" t="n">
        <v>46101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customFormat="false" ht="16.5" hidden="false" customHeight="true" outlineLevel="0" collapsed="false">
      <c r="A23" s="2"/>
      <c r="B23" s="49" t="s">
        <v>87</v>
      </c>
      <c r="C23" s="50" t="n">
        <v>443900</v>
      </c>
      <c r="D23" s="50" t="n">
        <v>5612</v>
      </c>
      <c r="E23" s="50" t="n">
        <v>139472</v>
      </c>
      <c r="F23" s="50" t="n">
        <v>5336</v>
      </c>
      <c r="G23" s="2"/>
      <c r="H23" s="51" t="n">
        <v>46102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customFormat="false" ht="16.5" hidden="false" customHeight="true" outlineLevel="0" collapsed="false">
      <c r="A24" s="2"/>
      <c r="B24" s="49" t="s">
        <v>88</v>
      </c>
      <c r="C24" s="50" t="n">
        <v>167900</v>
      </c>
      <c r="D24" s="50" t="n">
        <v>3036</v>
      </c>
      <c r="E24" s="50" t="n">
        <v>77924</v>
      </c>
      <c r="F24" s="50" t="n">
        <v>4140</v>
      </c>
      <c r="G24" s="2"/>
      <c r="H24" s="51" t="n">
        <v>46103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customFormat="false" ht="16.5" hidden="false" customHeight="true" outlineLevel="0" collapsed="false">
      <c r="A25" s="2"/>
      <c r="B25" s="49" t="s">
        <v>89</v>
      </c>
      <c r="C25" s="50" t="n">
        <v>337180</v>
      </c>
      <c r="D25" s="50" t="n">
        <v>6808</v>
      </c>
      <c r="E25" s="50" t="n">
        <v>195868</v>
      </c>
      <c r="F25" s="50" t="n">
        <v>7176</v>
      </c>
      <c r="G25" s="2"/>
      <c r="H25" s="51" t="n">
        <v>46104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customFormat="false" ht="16.5" hidden="false" customHeight="true" outlineLevel="0" collapsed="false">
      <c r="A26" s="2"/>
      <c r="B26" s="49" t="s">
        <v>90</v>
      </c>
      <c r="C26" s="50" t="n">
        <v>351900</v>
      </c>
      <c r="D26" s="50" t="n">
        <v>3864</v>
      </c>
      <c r="E26" s="50" t="n">
        <v>31188</v>
      </c>
      <c r="F26" s="50" t="n">
        <v>6164</v>
      </c>
      <c r="G26" s="2"/>
      <c r="H26" s="51" t="n">
        <v>46105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customFormat="false" ht="16.5" hidden="false" customHeight="true" outlineLevel="0" collapsed="false">
      <c r="A27" s="2"/>
      <c r="B27" s="49" t="s">
        <v>91</v>
      </c>
      <c r="C27" s="50" t="n">
        <v>416300</v>
      </c>
      <c r="D27" s="50" t="n">
        <v>7176</v>
      </c>
      <c r="E27" s="50" t="n">
        <v>267168</v>
      </c>
      <c r="F27" s="50" t="n">
        <v>7176</v>
      </c>
      <c r="G27" s="2"/>
      <c r="H27" s="51" t="n">
        <v>46106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customFormat="false" ht="16.5" hidden="false" customHeight="true" outlineLevel="0" collapsed="false">
      <c r="A28" s="2"/>
      <c r="B28" s="49" t="s">
        <v>92</v>
      </c>
      <c r="C28" s="50" t="n">
        <v>639400</v>
      </c>
      <c r="D28" s="50" t="n">
        <v>10856</v>
      </c>
      <c r="E28" s="50" t="n">
        <v>420900</v>
      </c>
      <c r="F28" s="50" t="n">
        <v>10396</v>
      </c>
      <c r="G28" s="2"/>
      <c r="H28" s="51" t="n">
        <v>46107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customFormat="false" ht="16.5" hidden="false" customHeight="true" outlineLevel="0" collapsed="false">
      <c r="A29" s="2"/>
      <c r="B29" s="49" t="s">
        <v>93</v>
      </c>
      <c r="C29" s="50" t="n">
        <v>499100</v>
      </c>
      <c r="D29" s="50" t="n">
        <v>6164</v>
      </c>
      <c r="E29" s="50" t="n">
        <v>299276</v>
      </c>
      <c r="F29" s="50" t="n">
        <v>6624</v>
      </c>
      <c r="G29" s="2"/>
      <c r="H29" s="51" t="n">
        <v>46108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customFormat="false" ht="16.5" hidden="false" customHeight="true" outlineLevel="0" collapsed="false">
      <c r="A30" s="2"/>
      <c r="B30" s="49" t="s">
        <v>94</v>
      </c>
      <c r="C30" s="50" t="n">
        <v>259900</v>
      </c>
      <c r="D30" s="50" t="n">
        <v>4232</v>
      </c>
      <c r="E30" s="50" t="n">
        <v>121992</v>
      </c>
      <c r="F30" s="50" t="n">
        <v>5428</v>
      </c>
      <c r="G30" s="2"/>
      <c r="H30" s="51" t="n">
        <v>46109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customFormat="false" ht="16.5" hidden="false" customHeight="true" outlineLevel="0" collapsed="false">
      <c r="A31" s="2"/>
      <c r="B31" s="49" t="s">
        <v>95</v>
      </c>
      <c r="C31" s="50" t="n">
        <v>406640</v>
      </c>
      <c r="D31" s="50" t="n">
        <v>8004</v>
      </c>
      <c r="E31" s="50" t="n">
        <v>244904</v>
      </c>
      <c r="F31" s="50" t="n">
        <v>9476</v>
      </c>
      <c r="G31" s="2"/>
      <c r="H31" s="51" t="n">
        <v>46110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customFormat="false" ht="16.5" hidden="false" customHeight="true" outlineLevel="0" collapsed="false">
      <c r="A32" s="2"/>
      <c r="B32" s="49" t="s">
        <v>96</v>
      </c>
      <c r="C32" s="50" t="n">
        <v>426880</v>
      </c>
      <c r="D32" s="50" t="n">
        <v>5704</v>
      </c>
      <c r="E32" s="50" t="n">
        <v>71392</v>
      </c>
      <c r="F32" s="50" t="n">
        <v>5980</v>
      </c>
      <c r="G32" s="2"/>
      <c r="H32" s="51" t="n">
        <v>46111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customFormat="false" ht="16.5" hidden="false" customHeight="true" outlineLevel="0" collapsed="false">
      <c r="A33" s="2"/>
      <c r="B33" s="49" t="s">
        <v>97</v>
      </c>
      <c r="C33" s="50" t="n">
        <v>195960</v>
      </c>
      <c r="D33" s="50" t="n">
        <v>7268</v>
      </c>
      <c r="E33" s="50" t="n">
        <v>265512</v>
      </c>
      <c r="F33" s="50" t="n">
        <v>4600</v>
      </c>
      <c r="G33" s="2"/>
      <c r="H33" s="51" t="n">
        <v>46112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customFormat="false" ht="16.5" hidden="false" customHeight="true" outlineLevel="0" collapsed="false">
      <c r="A34" s="2"/>
      <c r="B34" s="52" t="s">
        <v>98</v>
      </c>
      <c r="C34" s="53" t="n">
        <v>165600</v>
      </c>
      <c r="D34" s="53" t="n">
        <v>5520</v>
      </c>
      <c r="E34" s="53" t="n">
        <v>235152</v>
      </c>
      <c r="F34" s="53" t="n">
        <v>3312</v>
      </c>
      <c r="G34" s="2"/>
      <c r="H34" s="51" t="n">
        <v>46113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customFormat="false" ht="16.5" hidden="false" customHeight="true" outlineLevel="0" collapsed="false">
      <c r="A35" s="2"/>
      <c r="B35" s="52" t="s">
        <v>99</v>
      </c>
      <c r="C35" s="53" t="n">
        <v>471500</v>
      </c>
      <c r="D35" s="53" t="n">
        <v>9200</v>
      </c>
      <c r="E35" s="53" t="n">
        <v>375820</v>
      </c>
      <c r="F35" s="53" t="n">
        <v>7728</v>
      </c>
      <c r="G35" s="2"/>
      <c r="H35" s="51" t="n">
        <v>46114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customFormat="false" ht="16.5" hidden="false" customHeight="true" outlineLevel="0" collapsed="false">
      <c r="A36" s="2"/>
      <c r="B36" s="52" t="s">
        <v>100</v>
      </c>
      <c r="C36" s="53" t="n">
        <v>205160</v>
      </c>
      <c r="D36" s="53" t="n">
        <v>4968</v>
      </c>
      <c r="E36" s="53" t="n">
        <v>182712</v>
      </c>
      <c r="F36" s="53" t="n">
        <v>5428</v>
      </c>
      <c r="G36" s="2"/>
      <c r="H36" s="51" t="n">
        <v>46115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customFormat="false" ht="16.5" hidden="false" customHeight="true" outlineLevel="0" collapsed="false">
      <c r="A37" s="2"/>
      <c r="B37" s="52" t="s">
        <v>101</v>
      </c>
      <c r="C37" s="53" t="n">
        <v>533140</v>
      </c>
      <c r="D37" s="53" t="n">
        <v>5060</v>
      </c>
      <c r="E37" s="53" t="n">
        <v>155572</v>
      </c>
      <c r="F37" s="53" t="n">
        <v>8004</v>
      </c>
      <c r="G37" s="2"/>
      <c r="H37" s="51" t="n">
        <v>46116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customFormat="false" ht="16.5" hidden="false" customHeight="true" outlineLevel="0" collapsed="false">
      <c r="A38" s="2"/>
      <c r="B38" s="52" t="s">
        <v>102</v>
      </c>
      <c r="C38" s="53" t="n">
        <v>184000</v>
      </c>
      <c r="D38" s="53" t="n">
        <v>4508</v>
      </c>
      <c r="E38" s="53" t="n">
        <v>124200</v>
      </c>
      <c r="F38" s="53" t="n">
        <v>3772</v>
      </c>
      <c r="G38" s="2"/>
      <c r="H38" s="51" t="n">
        <v>46117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customFormat="false" ht="16.5" hidden="false" customHeight="true" outlineLevel="0" collapsed="false">
      <c r="A39" s="2"/>
      <c r="B39" s="52" t="s">
        <v>103</v>
      </c>
      <c r="C39" s="53" t="n">
        <v>374900</v>
      </c>
      <c r="D39" s="53" t="n">
        <v>7268</v>
      </c>
      <c r="E39" s="53" t="n">
        <v>94024</v>
      </c>
      <c r="F39" s="53" t="n">
        <v>5152</v>
      </c>
      <c r="G39" s="2"/>
      <c r="H39" s="51" t="n">
        <v>46118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customFormat="false" ht="16.5" hidden="false" customHeight="true" outlineLevel="0" collapsed="false">
      <c r="A40" s="2"/>
      <c r="B40" s="52" t="s">
        <v>104</v>
      </c>
      <c r="C40" s="53" t="n">
        <v>331660</v>
      </c>
      <c r="D40" s="53" t="n">
        <v>4508</v>
      </c>
      <c r="E40" s="53" t="n">
        <v>168636</v>
      </c>
      <c r="F40" s="53" t="n">
        <v>6532</v>
      </c>
      <c r="G40" s="2"/>
      <c r="H40" s="51" t="n">
        <v>46119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customFormat="false" ht="16.5" hidden="false" customHeight="true" outlineLevel="0" collapsed="false">
      <c r="A41" s="2"/>
      <c r="B41" s="52" t="s">
        <v>105</v>
      </c>
      <c r="C41" s="53" t="n">
        <v>441140</v>
      </c>
      <c r="D41" s="53" t="n">
        <v>5428</v>
      </c>
      <c r="E41" s="53" t="n">
        <v>207828</v>
      </c>
      <c r="F41" s="53" t="n">
        <v>7452</v>
      </c>
      <c r="G41" s="2"/>
      <c r="H41" s="51" t="n">
        <v>46120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customFormat="false" ht="16.5" hidden="false" customHeight="true" outlineLevel="0" collapsed="false">
      <c r="A42" s="2"/>
      <c r="B42" s="52" t="s">
        <v>106</v>
      </c>
      <c r="C42" s="53" t="n">
        <v>143520</v>
      </c>
      <c r="D42" s="53" t="n">
        <v>2484</v>
      </c>
      <c r="E42" s="53" t="n">
        <v>130824</v>
      </c>
      <c r="F42" s="53" t="n">
        <v>3680</v>
      </c>
      <c r="G42" s="2"/>
      <c r="H42" s="51" t="n">
        <v>46121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customFormat="false" ht="16.5" hidden="false" customHeight="true" outlineLevel="0" collapsed="false">
      <c r="A43" s="2"/>
      <c r="B43" s="52" t="s">
        <v>107</v>
      </c>
      <c r="C43" s="53" t="n">
        <v>549700</v>
      </c>
      <c r="D43" s="53" t="n">
        <v>5704</v>
      </c>
      <c r="E43" s="53" t="n">
        <v>161276</v>
      </c>
      <c r="F43" s="53" t="n">
        <v>8464</v>
      </c>
      <c r="G43" s="2"/>
      <c r="H43" s="51" t="n">
        <v>46122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customFormat="false" ht="16.5" hidden="false" customHeight="true" outlineLevel="0" collapsed="false">
      <c r="A44" s="2"/>
      <c r="B44" s="52" t="s">
        <v>108</v>
      </c>
      <c r="C44" s="53" t="n">
        <v>272320</v>
      </c>
      <c r="D44" s="53" t="n">
        <v>4140</v>
      </c>
      <c r="E44" s="53" t="n">
        <v>82524</v>
      </c>
      <c r="F44" s="53" t="n">
        <v>3772</v>
      </c>
      <c r="G44" s="2"/>
      <c r="H44" s="51" t="n">
        <v>46123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customFormat="false" ht="16.5" hidden="false" customHeight="true" outlineLevel="0" collapsed="false">
      <c r="A45" s="2"/>
      <c r="B45" s="52" t="s">
        <v>109</v>
      </c>
      <c r="C45" s="53" t="n">
        <v>383640</v>
      </c>
      <c r="D45" s="53" t="n">
        <v>5704</v>
      </c>
      <c r="E45" s="53" t="n">
        <v>159252</v>
      </c>
      <c r="F45" s="53" t="n">
        <v>8372</v>
      </c>
      <c r="G45" s="2"/>
      <c r="H45" s="51" t="n">
        <v>46124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customFormat="false" ht="16.5" hidden="false" customHeight="true" outlineLevel="0" collapsed="false">
      <c r="A46" s="2"/>
      <c r="B46" s="52" t="s">
        <v>110</v>
      </c>
      <c r="C46" s="53" t="n">
        <v>299460</v>
      </c>
      <c r="D46" s="53" t="n">
        <v>5336</v>
      </c>
      <c r="E46" s="53" t="n">
        <v>181792</v>
      </c>
      <c r="F46" s="53" t="n">
        <v>6992</v>
      </c>
      <c r="G46" s="2"/>
      <c r="H46" s="51" t="n">
        <v>46125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customFormat="false" ht="16.5" hidden="false" customHeight="true" outlineLevel="0" collapsed="false">
      <c r="A47" s="2"/>
      <c r="B47" s="52" t="s">
        <v>111</v>
      </c>
      <c r="C47" s="53" t="n">
        <v>420900</v>
      </c>
      <c r="D47" s="53" t="n">
        <v>5152</v>
      </c>
      <c r="E47" s="53" t="n">
        <v>231564</v>
      </c>
      <c r="F47" s="53" t="n">
        <v>6532</v>
      </c>
      <c r="G47" s="2"/>
      <c r="H47" s="51" t="n">
        <v>46126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customFormat="false" ht="16.5" hidden="false" customHeight="true" outlineLevel="0" collapsed="false">
      <c r="A48" s="2"/>
      <c r="B48" s="52" t="s">
        <v>112</v>
      </c>
      <c r="C48" s="53" t="n">
        <v>369380</v>
      </c>
      <c r="D48" s="53" t="n">
        <v>8464</v>
      </c>
      <c r="E48" s="53" t="n">
        <v>143520</v>
      </c>
      <c r="F48" s="53" t="n">
        <v>6348</v>
      </c>
      <c r="G48" s="2"/>
      <c r="H48" s="51" t="n">
        <v>46127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customFormat="false" ht="16.5" hidden="false" customHeight="true" outlineLevel="0" collapsed="false">
      <c r="A49" s="2"/>
      <c r="B49" s="52" t="s">
        <v>113</v>
      </c>
      <c r="C49" s="53" t="n">
        <v>82800</v>
      </c>
      <c r="D49" s="53" t="n">
        <v>3956</v>
      </c>
      <c r="E49" s="53" t="n">
        <v>156400</v>
      </c>
      <c r="F49" s="53" t="n">
        <v>2760</v>
      </c>
      <c r="G49" s="2"/>
      <c r="H49" s="51" t="n">
        <v>46128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customFormat="false" ht="16.5" hidden="false" customHeight="true" outlineLevel="0" collapsed="false">
      <c r="A50" s="2"/>
      <c r="B50" s="52" t="s">
        <v>114</v>
      </c>
      <c r="C50" s="53" t="n">
        <v>349140</v>
      </c>
      <c r="D50" s="53" t="n">
        <v>3956</v>
      </c>
      <c r="E50" s="53" t="n">
        <v>129352</v>
      </c>
      <c r="F50" s="53" t="n">
        <v>5244</v>
      </c>
      <c r="G50" s="2"/>
      <c r="H50" s="51" t="n">
        <v>46129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customFormat="false" ht="16.5" hidden="false" customHeight="true" outlineLevel="0" collapsed="false">
      <c r="A51" s="2"/>
      <c r="B51" s="52" t="s">
        <v>115</v>
      </c>
      <c r="C51" s="53" t="n">
        <v>398820</v>
      </c>
      <c r="D51" s="53" t="n">
        <v>5704</v>
      </c>
      <c r="E51" s="53" t="n">
        <v>85284</v>
      </c>
      <c r="F51" s="53" t="n">
        <v>8832</v>
      </c>
      <c r="G51" s="2"/>
      <c r="H51" s="51" t="n">
        <v>46130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customFormat="false" ht="16.5" hidden="false" customHeight="true" outlineLevel="0" collapsed="false">
      <c r="A52" s="2"/>
      <c r="B52" s="52" t="s">
        <v>116</v>
      </c>
      <c r="C52" s="53" t="n">
        <v>441600</v>
      </c>
      <c r="D52" s="53" t="n">
        <v>9016</v>
      </c>
      <c r="E52" s="53" t="n">
        <v>110584</v>
      </c>
      <c r="F52" s="53" t="n">
        <v>7084</v>
      </c>
      <c r="G52" s="2"/>
      <c r="H52" s="51" t="n">
        <v>46131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customFormat="false" ht="16.5" hidden="false" customHeight="true" outlineLevel="0" collapsed="false">
      <c r="A53" s="2"/>
      <c r="B53" s="52" t="s">
        <v>117</v>
      </c>
      <c r="C53" s="53" t="n">
        <v>297160</v>
      </c>
      <c r="D53" s="53" t="n">
        <v>7268</v>
      </c>
      <c r="E53" s="53" t="n">
        <v>205068</v>
      </c>
      <c r="F53" s="53" t="n">
        <v>5888</v>
      </c>
      <c r="G53" s="2"/>
      <c r="H53" s="51" t="n">
        <v>46132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customFormat="false" ht="16.5" hidden="false" customHeight="true" outlineLevel="0" collapsed="false">
      <c r="A54" s="2"/>
      <c r="B54" s="52" t="s">
        <v>118</v>
      </c>
      <c r="C54" s="53" t="n">
        <v>404800</v>
      </c>
      <c r="D54" s="53" t="n">
        <v>4508</v>
      </c>
      <c r="E54" s="53" t="n">
        <v>154100</v>
      </c>
      <c r="F54" s="53" t="n">
        <v>5520</v>
      </c>
      <c r="G54" s="2"/>
      <c r="H54" s="51" t="n">
        <v>46133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customFormat="false" ht="16.5" hidden="false" customHeight="true" outlineLevel="0" collapsed="false">
      <c r="A55" s="2"/>
      <c r="B55" s="52" t="s">
        <v>119</v>
      </c>
      <c r="C55" s="53" t="n">
        <v>176180</v>
      </c>
      <c r="D55" s="53" t="n">
        <v>3404</v>
      </c>
      <c r="E55" s="53" t="n">
        <v>105708</v>
      </c>
      <c r="F55" s="53" t="n">
        <v>2944</v>
      </c>
      <c r="G55" s="2"/>
      <c r="H55" s="51" t="n">
        <v>46134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customFormat="false" ht="16.5" hidden="false" customHeight="true" outlineLevel="0" collapsed="false">
      <c r="A56" s="2"/>
      <c r="B56" s="52" t="s">
        <v>120</v>
      </c>
      <c r="C56" s="53" t="n">
        <v>184000</v>
      </c>
      <c r="D56" s="53" t="n">
        <v>4048</v>
      </c>
      <c r="E56" s="53" t="n">
        <v>61088</v>
      </c>
      <c r="F56" s="53" t="n">
        <v>2852</v>
      </c>
      <c r="G56" s="2"/>
      <c r="H56" s="51" t="n">
        <v>46135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customFormat="false" ht="16.5" hidden="false" customHeight="true" outlineLevel="0" collapsed="false">
      <c r="A57" s="2"/>
      <c r="B57" s="52" t="s">
        <v>121</v>
      </c>
      <c r="C57" s="53" t="n">
        <v>392840</v>
      </c>
      <c r="D57" s="53" t="n">
        <v>7452</v>
      </c>
      <c r="E57" s="53" t="n">
        <v>111872</v>
      </c>
      <c r="F57" s="53" t="n">
        <v>6532</v>
      </c>
      <c r="G57" s="2"/>
      <c r="H57" s="51" t="n">
        <v>46136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customFormat="false" ht="16.5" hidden="false" customHeight="true" outlineLevel="0" collapsed="false">
      <c r="A58" s="2"/>
      <c r="B58" s="52" t="s">
        <v>122</v>
      </c>
      <c r="C58" s="53" t="n">
        <v>531300</v>
      </c>
      <c r="D58" s="53" t="n">
        <v>8648</v>
      </c>
      <c r="E58" s="53" t="n">
        <v>194580</v>
      </c>
      <c r="F58" s="53" t="n">
        <v>7820</v>
      </c>
      <c r="G58" s="2"/>
      <c r="H58" s="51" t="n">
        <v>46137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customFormat="false" ht="16.5" hidden="false" customHeight="true" outlineLevel="0" collapsed="false">
      <c r="A59" s="2"/>
      <c r="B59" s="52" t="s">
        <v>123</v>
      </c>
      <c r="C59" s="53" t="n">
        <v>416300</v>
      </c>
      <c r="D59" s="53" t="n">
        <v>2760</v>
      </c>
      <c r="E59" s="53" t="n">
        <v>130364</v>
      </c>
      <c r="F59" s="53" t="n">
        <v>4600</v>
      </c>
      <c r="G59" s="2"/>
      <c r="H59" s="51" t="n">
        <v>46138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customFormat="false" ht="16.5" hidden="false" customHeight="true" outlineLevel="0" collapsed="false">
      <c r="A60" s="2"/>
      <c r="B60" s="52" t="s">
        <v>124</v>
      </c>
      <c r="C60" s="53" t="n">
        <v>249780</v>
      </c>
      <c r="D60" s="53" t="n">
        <v>7544</v>
      </c>
      <c r="E60" s="53" t="n">
        <v>225676</v>
      </c>
      <c r="F60" s="53" t="n">
        <v>4324</v>
      </c>
      <c r="G60" s="2"/>
      <c r="H60" s="51" t="n">
        <v>46139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customFormat="false" ht="16.5" hidden="false" customHeight="true" outlineLevel="0" collapsed="false">
      <c r="A61" s="2"/>
      <c r="B61" s="52" t="s">
        <v>125</v>
      </c>
      <c r="C61" s="53" t="n">
        <v>608120</v>
      </c>
      <c r="D61" s="53" t="n">
        <v>7084</v>
      </c>
      <c r="E61" s="53" t="n">
        <v>111320</v>
      </c>
      <c r="F61" s="53" t="n">
        <v>10028</v>
      </c>
      <c r="G61" s="2"/>
      <c r="H61" s="51" t="n">
        <v>46140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customFormat="false" ht="16.5" hidden="false" customHeight="true" outlineLevel="0" collapsed="false">
      <c r="A62" s="2"/>
      <c r="B62" s="52" t="s">
        <v>126</v>
      </c>
      <c r="C62" s="53" t="n">
        <v>159160</v>
      </c>
      <c r="D62" s="53" t="n">
        <v>4048</v>
      </c>
      <c r="E62" s="53" t="n">
        <v>163576</v>
      </c>
      <c r="F62" s="53" t="n">
        <v>3220</v>
      </c>
      <c r="G62" s="2"/>
      <c r="H62" s="51" t="n">
        <v>46141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customFormat="false" ht="16.5" hidden="false" customHeight="true" outlineLevel="0" collapsed="false">
      <c r="A63" s="2"/>
      <c r="B63" s="52" t="s">
        <v>127</v>
      </c>
      <c r="C63" s="53" t="n">
        <v>251620</v>
      </c>
      <c r="D63" s="53" t="n">
        <v>4876</v>
      </c>
      <c r="E63" s="53" t="n">
        <v>143152</v>
      </c>
      <c r="F63" s="53" t="n">
        <v>5428</v>
      </c>
      <c r="G63" s="2"/>
      <c r="H63" s="51" t="n">
        <v>46142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customFormat="false" ht="16.5" hidden="false" customHeight="true" outlineLevel="0" collapsed="false">
      <c r="A64" s="2"/>
      <c r="B64" s="54" t="s">
        <v>128</v>
      </c>
      <c r="C64" s="55" t="n">
        <v>357880</v>
      </c>
      <c r="D64" s="55" t="n">
        <v>8004</v>
      </c>
      <c r="E64" s="55" t="n">
        <v>281520</v>
      </c>
      <c r="F64" s="55" t="n">
        <v>6808</v>
      </c>
      <c r="G64" s="2"/>
      <c r="H64" s="51" t="n">
        <v>46143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customFormat="false" ht="16.5" hidden="false" customHeight="true" outlineLevel="0" collapsed="false">
      <c r="A65" s="2"/>
      <c r="B65" s="54" t="s">
        <v>129</v>
      </c>
      <c r="C65" s="55" t="n">
        <v>322000</v>
      </c>
      <c r="D65" s="55" t="n">
        <v>3772</v>
      </c>
      <c r="E65" s="55" t="n">
        <v>121256</v>
      </c>
      <c r="F65" s="55" t="n">
        <v>4784</v>
      </c>
      <c r="G65" s="2"/>
      <c r="H65" s="51" t="n">
        <v>46144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customFormat="false" ht="16.5" hidden="false" customHeight="true" outlineLevel="0" collapsed="false">
      <c r="A66" s="2"/>
      <c r="B66" s="54" t="s">
        <v>130</v>
      </c>
      <c r="C66" s="55" t="n">
        <v>171580</v>
      </c>
      <c r="D66" s="55" t="n">
        <v>6992</v>
      </c>
      <c r="E66" s="55" t="n">
        <v>160080</v>
      </c>
      <c r="F66" s="55" t="n">
        <v>4416</v>
      </c>
      <c r="G66" s="2"/>
      <c r="H66" s="51" t="n">
        <v>46145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customFormat="false" ht="16.5" hidden="false" customHeight="true" outlineLevel="0" collapsed="false">
      <c r="A67" s="2"/>
      <c r="B67" s="54" t="s">
        <v>131</v>
      </c>
      <c r="C67" s="55" t="n">
        <v>305440</v>
      </c>
      <c r="D67" s="55" t="n">
        <v>2024</v>
      </c>
      <c r="E67" s="55" t="n">
        <v>52440</v>
      </c>
      <c r="F67" s="55" t="n">
        <v>4508</v>
      </c>
      <c r="G67" s="2"/>
      <c r="H67" s="51" t="n">
        <v>46146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customFormat="false" ht="16.5" hidden="false" customHeight="true" outlineLevel="0" collapsed="false">
      <c r="A68" s="2"/>
      <c r="B68" s="54" t="s">
        <v>132</v>
      </c>
      <c r="C68" s="55" t="n">
        <v>247480</v>
      </c>
      <c r="D68" s="55" t="n">
        <v>3680</v>
      </c>
      <c r="E68" s="55" t="n">
        <v>109572</v>
      </c>
      <c r="F68" s="55" t="n">
        <v>3404</v>
      </c>
      <c r="G68" s="2"/>
      <c r="H68" s="51" t="n">
        <v>46147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customFormat="false" ht="16.5" hidden="false" customHeight="true" outlineLevel="0" collapsed="false">
      <c r="A69" s="2"/>
      <c r="B69" s="54" t="s">
        <v>133</v>
      </c>
      <c r="C69" s="55" t="n">
        <v>259900</v>
      </c>
      <c r="D69" s="55" t="n">
        <v>6624</v>
      </c>
      <c r="E69" s="55" t="n">
        <v>63020</v>
      </c>
      <c r="F69" s="55" t="n">
        <v>4784</v>
      </c>
      <c r="G69" s="2"/>
      <c r="H69" s="51" t="n">
        <v>46148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customFormat="false" ht="16.5" hidden="false" customHeight="true" outlineLevel="0" collapsed="false">
      <c r="A70" s="2"/>
      <c r="B70" s="54" t="s">
        <v>134</v>
      </c>
      <c r="C70" s="55" t="n">
        <v>412620</v>
      </c>
      <c r="D70" s="55" t="n">
        <v>4968</v>
      </c>
      <c r="E70" s="55" t="n">
        <v>144348</v>
      </c>
      <c r="F70" s="55" t="n">
        <v>5796</v>
      </c>
      <c r="G70" s="2"/>
      <c r="H70" s="51" t="n">
        <v>46149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customFormat="false" ht="16.5" hidden="false" customHeight="true" outlineLevel="0" collapsed="false">
      <c r="A71" s="2"/>
      <c r="B71" s="54" t="s">
        <v>135</v>
      </c>
      <c r="C71" s="55" t="n">
        <v>358800</v>
      </c>
      <c r="D71" s="55" t="n">
        <v>8648</v>
      </c>
      <c r="E71" s="55" t="n">
        <v>169096</v>
      </c>
      <c r="F71" s="55" t="n">
        <v>6808</v>
      </c>
      <c r="G71" s="2"/>
      <c r="H71" s="51" t="n">
        <v>46150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customFormat="false" ht="16.5" hidden="false" customHeight="true" outlineLevel="0" collapsed="false">
      <c r="A72" s="2"/>
      <c r="B72" s="54" t="s">
        <v>136</v>
      </c>
      <c r="C72" s="55" t="n">
        <v>239200</v>
      </c>
      <c r="D72" s="55" t="n">
        <v>7176</v>
      </c>
      <c r="E72" s="55" t="n">
        <v>110584</v>
      </c>
      <c r="F72" s="55" t="n">
        <v>3404</v>
      </c>
      <c r="G72" s="2"/>
      <c r="H72" s="51" t="n">
        <v>46151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customFormat="false" ht="16.5" hidden="false" customHeight="true" outlineLevel="0" collapsed="false">
      <c r="A73" s="2"/>
      <c r="B73" s="54" t="s">
        <v>137</v>
      </c>
      <c r="C73" s="55" t="n">
        <v>246100</v>
      </c>
      <c r="D73" s="55" t="n">
        <v>4600</v>
      </c>
      <c r="E73" s="55" t="n">
        <v>123372</v>
      </c>
      <c r="F73" s="55" t="n">
        <v>5888</v>
      </c>
      <c r="G73" s="2"/>
      <c r="H73" s="51" t="n">
        <v>46152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customFormat="false" ht="16.5" hidden="false" customHeight="true" outlineLevel="0" collapsed="false">
      <c r="A74" s="2"/>
      <c r="B74" s="54" t="s">
        <v>138</v>
      </c>
      <c r="C74" s="55" t="n">
        <v>349600</v>
      </c>
      <c r="D74" s="55" t="n">
        <v>5152</v>
      </c>
      <c r="E74" s="55" t="n">
        <v>175536</v>
      </c>
      <c r="F74" s="55" t="n">
        <v>6716</v>
      </c>
      <c r="G74" s="2"/>
      <c r="H74" s="51" t="n">
        <v>46153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customFormat="false" ht="16.5" hidden="false" customHeight="true" outlineLevel="0" collapsed="false">
      <c r="A75" s="2"/>
      <c r="B75" s="54" t="s">
        <v>139</v>
      </c>
      <c r="C75" s="55" t="n">
        <v>391000</v>
      </c>
      <c r="D75" s="55" t="n">
        <v>6624</v>
      </c>
      <c r="E75" s="55" t="n">
        <v>201480</v>
      </c>
      <c r="F75" s="55" t="n">
        <v>6440</v>
      </c>
      <c r="G75" s="2"/>
      <c r="H75" s="51" t="n">
        <v>46154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customFormat="false" ht="16.5" hidden="false" customHeight="true" outlineLevel="0" collapsed="false">
      <c r="A76" s="2"/>
      <c r="B76" s="54" t="s">
        <v>140</v>
      </c>
      <c r="C76" s="55" t="n">
        <v>530840</v>
      </c>
      <c r="D76" s="55" t="n">
        <v>5796</v>
      </c>
      <c r="E76" s="55" t="n">
        <v>144532</v>
      </c>
      <c r="F76" s="55" t="n">
        <v>7912</v>
      </c>
      <c r="G76" s="2"/>
      <c r="H76" s="51" t="n">
        <v>46155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customFormat="false" ht="16.5" hidden="false" customHeight="true" outlineLevel="0" collapsed="false">
      <c r="A77" s="2"/>
      <c r="B77" s="54" t="s">
        <v>141</v>
      </c>
      <c r="C77" s="55" t="n">
        <v>495420</v>
      </c>
      <c r="D77" s="55" t="n">
        <v>6808</v>
      </c>
      <c r="E77" s="55" t="n">
        <v>243800</v>
      </c>
      <c r="F77" s="55" t="n">
        <v>6624</v>
      </c>
      <c r="G77" s="2"/>
      <c r="H77" s="51" t="n">
        <v>46156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customFormat="false" ht="16.5" hidden="false" customHeight="true" outlineLevel="0" collapsed="false">
      <c r="A78" s="2"/>
      <c r="B78" s="54" t="s">
        <v>142</v>
      </c>
      <c r="C78" s="55" t="n">
        <v>162840</v>
      </c>
      <c r="D78" s="55" t="n">
        <v>5428</v>
      </c>
      <c r="E78" s="55" t="n">
        <v>199548</v>
      </c>
      <c r="F78" s="55" t="n">
        <v>4876</v>
      </c>
      <c r="G78" s="2"/>
      <c r="H78" s="51" t="n">
        <v>46157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customFormat="false" ht="16.5" hidden="false" customHeight="true" outlineLevel="0" collapsed="false">
      <c r="A79" s="2"/>
      <c r="B79" s="54" t="s">
        <v>143</v>
      </c>
      <c r="C79" s="55" t="n">
        <v>514740</v>
      </c>
      <c r="D79" s="55" t="n">
        <v>6808</v>
      </c>
      <c r="E79" s="55" t="n">
        <v>94852</v>
      </c>
      <c r="F79" s="55" t="n">
        <v>6532</v>
      </c>
      <c r="G79" s="2"/>
      <c r="H79" s="51" t="n">
        <v>46158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customFormat="false" ht="16.5" hidden="false" customHeight="true" outlineLevel="0" collapsed="false">
      <c r="A80" s="2"/>
      <c r="B80" s="54" t="s">
        <v>144</v>
      </c>
      <c r="C80" s="55" t="n">
        <v>358800</v>
      </c>
      <c r="D80" s="55" t="n">
        <v>2484</v>
      </c>
      <c r="E80" s="55" t="n">
        <v>95220</v>
      </c>
      <c r="F80" s="55" t="n">
        <v>6440</v>
      </c>
      <c r="G80" s="2"/>
      <c r="H80" s="51" t="n">
        <v>46159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customFormat="false" ht="16.5" hidden="false" customHeight="true" outlineLevel="0" collapsed="false">
      <c r="A81" s="2"/>
      <c r="B81" s="54" t="s">
        <v>145</v>
      </c>
      <c r="C81" s="55" t="n">
        <v>402500</v>
      </c>
      <c r="D81" s="55" t="n">
        <v>7176</v>
      </c>
      <c r="E81" s="55" t="n">
        <v>172316</v>
      </c>
      <c r="F81" s="55" t="n">
        <v>7084</v>
      </c>
      <c r="G81" s="2"/>
      <c r="H81" s="51" t="n">
        <v>46160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customFormat="false" ht="16.5" hidden="false" customHeight="true" outlineLevel="0" collapsed="false">
      <c r="A82" s="2"/>
      <c r="B82" s="54" t="s">
        <v>146</v>
      </c>
      <c r="C82" s="55" t="n">
        <v>316480</v>
      </c>
      <c r="D82" s="55" t="n">
        <v>6532</v>
      </c>
      <c r="E82" s="55" t="n">
        <v>257784</v>
      </c>
      <c r="F82" s="55" t="n">
        <v>7084</v>
      </c>
      <c r="G82" s="2"/>
      <c r="H82" s="51" t="n">
        <v>46161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customFormat="false" ht="16.5" hidden="false" customHeight="true" outlineLevel="0" collapsed="false">
      <c r="A83" s="2"/>
      <c r="B83" s="54" t="s">
        <v>147</v>
      </c>
      <c r="C83" s="55" t="n">
        <v>333500</v>
      </c>
      <c r="D83" s="55" t="n">
        <v>4416</v>
      </c>
      <c r="E83" s="55" t="n">
        <v>213624</v>
      </c>
      <c r="F83" s="55" t="n">
        <v>5060</v>
      </c>
      <c r="G83" s="2"/>
      <c r="H83" s="51" t="n">
        <v>46162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customFormat="false" ht="16.5" hidden="false" customHeight="true" outlineLevel="0" collapsed="false">
      <c r="A84" s="2"/>
      <c r="B84" s="54" t="s">
        <v>148</v>
      </c>
      <c r="C84" s="55" t="n">
        <v>260820</v>
      </c>
      <c r="D84" s="55" t="n">
        <v>5244</v>
      </c>
      <c r="E84" s="55" t="n">
        <v>125488</v>
      </c>
      <c r="F84" s="55" t="n">
        <v>3128</v>
      </c>
      <c r="G84" s="2"/>
      <c r="H84" s="51" t="n">
        <v>46163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customFormat="false" ht="16.5" hidden="false" customHeight="true" outlineLevel="0" collapsed="false">
      <c r="A85" s="2"/>
      <c r="B85" s="54" t="s">
        <v>149</v>
      </c>
      <c r="C85" s="55" t="n">
        <v>247480</v>
      </c>
      <c r="D85" s="55" t="n">
        <v>5060</v>
      </c>
      <c r="E85" s="55" t="n">
        <v>145728</v>
      </c>
      <c r="F85" s="55" t="n">
        <v>3680</v>
      </c>
      <c r="G85" s="2"/>
      <c r="H85" s="51" t="n">
        <v>46164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customFormat="false" ht="16.5" hidden="false" customHeight="true" outlineLevel="0" collapsed="false">
      <c r="A86" s="2"/>
      <c r="B86" s="54" t="s">
        <v>150</v>
      </c>
      <c r="C86" s="55" t="n">
        <v>394680</v>
      </c>
      <c r="D86" s="55" t="n">
        <v>5244</v>
      </c>
      <c r="E86" s="55" t="n">
        <v>58972</v>
      </c>
      <c r="F86" s="55" t="n">
        <v>6624</v>
      </c>
      <c r="G86" s="2"/>
      <c r="H86" s="51" t="n">
        <v>46165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customFormat="false" ht="16.5" hidden="false" customHeight="true" outlineLevel="0" collapsed="false">
      <c r="A87" s="2"/>
      <c r="B87" s="54" t="s">
        <v>151</v>
      </c>
      <c r="C87" s="55" t="n">
        <v>333040</v>
      </c>
      <c r="D87" s="55" t="n">
        <v>9936</v>
      </c>
      <c r="E87" s="55" t="n">
        <v>348864</v>
      </c>
      <c r="F87" s="55" t="n">
        <v>7544</v>
      </c>
      <c r="G87" s="2"/>
      <c r="H87" s="51" t="n">
        <v>46166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customFormat="false" ht="16.5" hidden="false" customHeight="true" outlineLevel="0" collapsed="false">
      <c r="A88" s="2"/>
      <c r="B88" s="54" t="s">
        <v>152</v>
      </c>
      <c r="C88" s="55" t="n">
        <v>307740</v>
      </c>
      <c r="D88" s="55" t="n">
        <v>2668</v>
      </c>
      <c r="E88" s="55" t="n">
        <v>65320</v>
      </c>
      <c r="F88" s="55" t="n">
        <v>5244</v>
      </c>
      <c r="G88" s="2"/>
      <c r="H88" s="51" t="n">
        <v>46167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customFormat="false" ht="16.5" hidden="false" customHeight="true" outlineLevel="0" collapsed="false">
      <c r="A89" s="2"/>
      <c r="B89" s="54" t="s">
        <v>153</v>
      </c>
      <c r="C89" s="55" t="n">
        <v>44620</v>
      </c>
      <c r="D89" s="55" t="n">
        <v>4140</v>
      </c>
      <c r="E89" s="55" t="n">
        <v>145084</v>
      </c>
      <c r="F89" s="55" t="n">
        <v>828</v>
      </c>
      <c r="G89" s="2"/>
      <c r="H89" s="51" t="n">
        <v>46168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customFormat="false" ht="16.5" hidden="false" customHeight="true" outlineLevel="0" collapsed="false">
      <c r="A90" s="2"/>
      <c r="B90" s="54" t="s">
        <v>154</v>
      </c>
      <c r="C90" s="55" t="n">
        <v>103500</v>
      </c>
      <c r="D90" s="55" t="n">
        <v>3220</v>
      </c>
      <c r="E90" s="55" t="n">
        <v>121440</v>
      </c>
      <c r="F90" s="55" t="n">
        <v>2852</v>
      </c>
      <c r="G90" s="2"/>
      <c r="H90" s="51" t="n">
        <v>46169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customFormat="false" ht="16.5" hidden="false" customHeight="true" outlineLevel="0" collapsed="false">
      <c r="A91" s="2"/>
      <c r="B91" s="54" t="s">
        <v>155</v>
      </c>
      <c r="C91" s="55" t="n">
        <v>255760</v>
      </c>
      <c r="D91" s="55" t="n">
        <v>9568</v>
      </c>
      <c r="E91" s="55" t="n">
        <v>433228</v>
      </c>
      <c r="F91" s="55" t="n">
        <v>6072</v>
      </c>
      <c r="G91" s="2"/>
      <c r="H91" s="51" t="n">
        <v>46170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customFormat="false" ht="16.5" hidden="false" customHeight="true" outlineLevel="0" collapsed="false">
      <c r="A92" s="2"/>
      <c r="B92" s="54" t="s">
        <v>156</v>
      </c>
      <c r="C92" s="55" t="n">
        <v>217120</v>
      </c>
      <c r="D92" s="55" t="n">
        <v>3680</v>
      </c>
      <c r="E92" s="55" t="n">
        <v>52440</v>
      </c>
      <c r="F92" s="55" t="n">
        <v>3680</v>
      </c>
      <c r="G92" s="2"/>
      <c r="H92" s="51" t="n">
        <v>46171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customFormat="false" ht="16.5" hidden="false" customHeight="true" outlineLevel="0" collapsed="false">
      <c r="A93" s="2"/>
      <c r="B93" s="54" t="s">
        <v>157</v>
      </c>
      <c r="C93" s="55" t="n">
        <v>213900</v>
      </c>
      <c r="D93" s="55" t="n">
        <v>3496</v>
      </c>
      <c r="E93" s="55" t="n">
        <v>140760</v>
      </c>
      <c r="F93" s="55" t="n">
        <v>4876</v>
      </c>
      <c r="G93" s="2"/>
      <c r="H93" s="51" t="n">
        <v>46172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customFormat="false" ht="16.5" hidden="false" customHeight="true" outlineLevel="0" collapsed="false">
      <c r="A94" s="2"/>
      <c r="B94" s="54" t="s">
        <v>158</v>
      </c>
      <c r="C94" s="55" t="n">
        <v>454020</v>
      </c>
      <c r="D94" s="55" t="n">
        <v>5244</v>
      </c>
      <c r="E94" s="55" t="n">
        <v>122820</v>
      </c>
      <c r="F94" s="55" t="n">
        <v>6808</v>
      </c>
      <c r="G94" s="2"/>
      <c r="H94" s="51" t="n">
        <v>46173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customFormat="false" ht="1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customFormat="false" ht="1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customFormat="false" ht="1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customFormat="false" ht="1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customFormat="false" ht="1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customFormat="false" ht="1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customFormat="false" ht="1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customFormat="false" ht="1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customFormat="false" ht="1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customFormat="false" ht="1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customFormat="false" ht="1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customFormat="false" ht="1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customFormat="false" ht="1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customFormat="false" ht="1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customFormat="false" ht="1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S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7" min="3" style="1" width="16"/>
    <col collapsed="false" customWidth="true" hidden="false" outlineLevel="0" max="8" min="8" style="1" width="3"/>
  </cols>
  <sheetData>
    <row r="1" customFormat="false" ht="36" hidden="false" customHeight="true" outlineLevel="0" collapsed="false">
      <c r="A1" s="38" t="s">
        <v>159</v>
      </c>
      <c r="B1" s="38"/>
      <c r="C1" s="38"/>
      <c r="D1" s="38"/>
      <c r="E1" s="38"/>
      <c r="F1" s="38"/>
      <c r="G1" s="38"/>
      <c r="H1" s="38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24" hidden="false" customHeight="true" outlineLevel="0" collapsed="false">
      <c r="A3" s="2"/>
      <c r="B3" s="35" t="s">
        <v>160</v>
      </c>
      <c r="C3" s="35"/>
      <c r="D3" s="35"/>
      <c r="E3" s="35"/>
      <c r="F3" s="35"/>
      <c r="G3" s="3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25.5" hidden="false" customHeight="true" outlineLevel="0" collapsed="false">
      <c r="A4" s="2"/>
      <c r="B4" s="15" t="s">
        <v>34</v>
      </c>
      <c r="C4" s="15" t="s">
        <v>161</v>
      </c>
      <c r="D4" s="15" t="s">
        <v>162</v>
      </c>
      <c r="E4" s="15" t="s">
        <v>163</v>
      </c>
      <c r="F4" s="15" t="s">
        <v>11</v>
      </c>
      <c r="G4" s="15" t="s">
        <v>12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21.75" hidden="false" customHeight="true" outlineLevel="0" collapsed="false">
      <c r="A5" s="2"/>
      <c r="B5" s="29" t="s">
        <v>164</v>
      </c>
      <c r="C5" s="18" t="n">
        <v>2113700</v>
      </c>
      <c r="D5" s="18" t="n">
        <v>1413580</v>
      </c>
      <c r="E5" s="18" t="n">
        <v>1937060</v>
      </c>
      <c r="F5" s="56" t="n">
        <v>0.495281483891962</v>
      </c>
      <c r="G5" s="57" t="n">
        <v>-0.270244597482783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21.75" hidden="false" customHeight="true" outlineLevel="0" collapsed="false">
      <c r="A6" s="2"/>
      <c r="B6" s="58" t="s">
        <v>165</v>
      </c>
      <c r="C6" s="24" t="n">
        <v>2110940</v>
      </c>
      <c r="D6" s="24" t="n">
        <v>2281600</v>
      </c>
      <c r="E6" s="24" t="n">
        <v>1552500</v>
      </c>
      <c r="F6" s="59" t="n">
        <v>-0.0747983870967742</v>
      </c>
      <c r="G6" s="60" t="n">
        <v>0.46962962962963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customFormat="false" ht="21.75" hidden="false" customHeight="true" outlineLevel="0" collapsed="false">
      <c r="A7" s="2"/>
      <c r="B7" s="29" t="s">
        <v>166</v>
      </c>
      <c r="C7" s="18" t="n">
        <v>1925100</v>
      </c>
      <c r="D7" s="18" t="n">
        <v>1872660</v>
      </c>
      <c r="E7" s="18" t="n">
        <v>1754900</v>
      </c>
      <c r="F7" s="56" t="n">
        <v>0.0280029476787029</v>
      </c>
      <c r="G7" s="56" t="n">
        <v>0.0671035386631718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customFormat="false" ht="21.75" hidden="false" customHeight="true" outlineLevel="0" collapsed="false">
      <c r="A8" s="2"/>
      <c r="B8" s="58" t="s">
        <v>167</v>
      </c>
      <c r="C8" s="24" t="n">
        <v>1742020</v>
      </c>
      <c r="D8" s="24" t="n">
        <v>3241620</v>
      </c>
      <c r="E8" s="24" t="n">
        <v>2069080</v>
      </c>
      <c r="F8" s="59" t="n">
        <v>-0.462608202071804</v>
      </c>
      <c r="G8" s="60" t="n">
        <v>0.566696309470876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customFormat="false" ht="21.75" hidden="false" customHeight="true" outlineLevel="0" collapsed="false">
      <c r="A9" s="2"/>
      <c r="B9" s="29" t="s">
        <v>168</v>
      </c>
      <c r="C9" s="18" t="n">
        <v>1717640</v>
      </c>
      <c r="D9" s="18" t="n">
        <v>1280180</v>
      </c>
      <c r="E9" s="18" t="n">
        <v>3084300</v>
      </c>
      <c r="F9" s="56" t="n">
        <v>0.341717570966583</v>
      </c>
      <c r="G9" s="57" t="n">
        <v>-0.584936614466816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customFormat="false" ht="1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customFormat="false" ht="1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customFormat="false" ht="24" hidden="false" customHeight="true" outlineLevel="0" collapsed="false">
      <c r="A12" s="2"/>
      <c r="B12" s="61" t="s">
        <v>169</v>
      </c>
      <c r="C12" s="61"/>
      <c r="D12" s="61"/>
      <c r="E12" s="61"/>
      <c r="F12" s="61"/>
      <c r="G12" s="6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customFormat="false" ht="25.5" hidden="false" customHeight="true" outlineLevel="0" collapsed="false">
      <c r="A13" s="2"/>
      <c r="B13" s="15" t="s">
        <v>34</v>
      </c>
      <c r="C13" s="15" t="s">
        <v>161</v>
      </c>
      <c r="D13" s="15" t="s">
        <v>162</v>
      </c>
      <c r="E13" s="15" t="s">
        <v>163</v>
      </c>
      <c r="F13" s="15" t="s">
        <v>11</v>
      </c>
      <c r="G13" s="15" t="s">
        <v>12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customFormat="false" ht="21.75" hidden="false" customHeight="true" outlineLevel="0" collapsed="false">
      <c r="A14" s="2"/>
      <c r="B14" s="62" t="s">
        <v>170</v>
      </c>
      <c r="C14" s="18" t="n">
        <v>1925100</v>
      </c>
      <c r="D14" s="18" t="n">
        <v>1872660</v>
      </c>
      <c r="E14" s="18" t="n">
        <v>1754900</v>
      </c>
      <c r="F14" s="56" t="n">
        <v>0.0280029476787029</v>
      </c>
      <c r="G14" s="56" t="n">
        <v>0.0671035386631718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customFormat="false" ht="21.75" hidden="false" customHeight="true" outlineLevel="0" collapsed="false">
      <c r="A15" s="2"/>
      <c r="B15" s="63" t="s">
        <v>171</v>
      </c>
      <c r="C15" s="24" t="n">
        <v>1742020</v>
      </c>
      <c r="D15" s="24" t="n">
        <v>3241620</v>
      </c>
      <c r="E15" s="24" t="n">
        <v>2069080</v>
      </c>
      <c r="F15" s="59" t="n">
        <v>-0.462608202071804</v>
      </c>
      <c r="G15" s="60" t="n">
        <v>0.566696309470876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customFormat="false" ht="21.75" hidden="false" customHeight="true" outlineLevel="0" collapsed="false">
      <c r="A16" s="2"/>
      <c r="B16" s="62" t="s">
        <v>172</v>
      </c>
      <c r="C16" s="18" t="n">
        <v>1717640</v>
      </c>
      <c r="D16" s="18" t="n">
        <v>1280180</v>
      </c>
      <c r="E16" s="18" t="n">
        <v>3084300</v>
      </c>
      <c r="F16" s="56" t="n">
        <v>0.341717570966583</v>
      </c>
      <c r="G16" s="57" t="n">
        <v>-0.584936614466816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customFormat="false" ht="24" hidden="false" customHeight="true" outlineLevel="0" collapsed="false">
      <c r="A21" s="2"/>
      <c r="B21" s="61" t="s">
        <v>173</v>
      </c>
      <c r="C21" s="61"/>
      <c r="D21" s="61"/>
      <c r="E21" s="61"/>
      <c r="F21" s="61"/>
      <c r="G21" s="6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customFormat="false" ht="25.5" hidden="false" customHeight="true" outlineLevel="0" collapsed="false">
      <c r="A22" s="2"/>
      <c r="B22" s="15" t="s">
        <v>34</v>
      </c>
      <c r="C22" s="15" t="s">
        <v>161</v>
      </c>
      <c r="D22" s="15" t="s">
        <v>162</v>
      </c>
      <c r="E22" s="15" t="s">
        <v>163</v>
      </c>
      <c r="F22" s="15" t="s">
        <v>11</v>
      </c>
      <c r="G22" s="15" t="s">
        <v>12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customFormat="false" ht="21.75" hidden="false" customHeight="true" outlineLevel="0" collapsed="false">
      <c r="A23" s="2"/>
      <c r="B23" s="62" t="s">
        <v>174</v>
      </c>
      <c r="C23" s="18" t="n">
        <v>1742020</v>
      </c>
      <c r="D23" s="18" t="n">
        <v>3241620</v>
      </c>
      <c r="E23" s="18" t="n">
        <v>2069080</v>
      </c>
      <c r="F23" s="57" t="n">
        <v>-0.462608202071804</v>
      </c>
      <c r="G23" s="56" t="n">
        <v>0.566696309470876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customFormat="false" ht="21.75" hidden="false" customHeight="true" outlineLevel="0" collapsed="false">
      <c r="A24" s="2"/>
      <c r="B24" s="63" t="s">
        <v>175</v>
      </c>
      <c r="C24" s="24" t="n">
        <v>2110940</v>
      </c>
      <c r="D24" s="24" t="n">
        <v>2281600</v>
      </c>
      <c r="E24" s="24" t="n">
        <v>1552500</v>
      </c>
      <c r="F24" s="59" t="n">
        <v>-0.0747983870967742</v>
      </c>
      <c r="G24" s="60" t="n">
        <v>0.46962962962963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customFormat="false" ht="21.75" hidden="false" customHeight="true" outlineLevel="0" collapsed="false">
      <c r="A25" s="2"/>
      <c r="B25" s="62" t="s">
        <v>176</v>
      </c>
      <c r="C25" s="18" t="n">
        <v>1925100</v>
      </c>
      <c r="D25" s="18" t="n">
        <v>1872660</v>
      </c>
      <c r="E25" s="18" t="n">
        <v>1754900</v>
      </c>
      <c r="F25" s="56" t="n">
        <v>0.0280029476787029</v>
      </c>
      <c r="G25" s="56" t="n">
        <v>0.0671035386631718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customFormat="false" ht="24" hidden="false" customHeight="true" outlineLevel="0" collapsed="false">
      <c r="A30" s="2"/>
      <c r="B30" s="35" t="s">
        <v>177</v>
      </c>
      <c r="C30" s="35"/>
      <c r="D30" s="35"/>
      <c r="E30" s="35"/>
      <c r="F30" s="35"/>
      <c r="G30" s="3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customFormat="false" ht="25.5" hidden="false" customHeight="true" outlineLevel="0" collapsed="false">
      <c r="A31" s="2"/>
      <c r="B31" s="15" t="s">
        <v>34</v>
      </c>
      <c r="C31" s="15" t="s">
        <v>161</v>
      </c>
      <c r="D31" s="15" t="s">
        <v>162</v>
      </c>
      <c r="E31" s="15" t="s">
        <v>163</v>
      </c>
      <c r="F31" s="15" t="s">
        <v>11</v>
      </c>
      <c r="G31" s="15" t="s">
        <v>12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customFormat="false" ht="21.75" hidden="false" customHeight="true" outlineLevel="0" collapsed="false">
      <c r="A32" s="2"/>
      <c r="B32" s="29" t="s">
        <v>164</v>
      </c>
      <c r="C32" s="18" t="n">
        <v>2113700</v>
      </c>
      <c r="D32" s="18" t="n">
        <v>1413580</v>
      </c>
      <c r="E32" s="18" t="n">
        <v>1937060</v>
      </c>
      <c r="F32" s="56" t="n">
        <v>0.495281483891962</v>
      </c>
      <c r="G32" s="57" t="n">
        <v>-0.270244597482783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customFormat="false" ht="21.75" hidden="false" customHeight="true" outlineLevel="0" collapsed="false">
      <c r="A33" s="2"/>
      <c r="B33" s="58" t="s">
        <v>178</v>
      </c>
      <c r="C33" s="24" t="n">
        <v>1717640</v>
      </c>
      <c r="D33" s="24" t="n">
        <v>1280180</v>
      </c>
      <c r="E33" s="24" t="n">
        <v>3084300</v>
      </c>
      <c r="F33" s="60" t="n">
        <v>0.341717570966583</v>
      </c>
      <c r="G33" s="59" t="n">
        <v>-0.584936614466816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customFormat="false" ht="21.75" hidden="false" customHeight="true" outlineLevel="0" collapsed="false">
      <c r="A34" s="2"/>
      <c r="B34" s="29" t="s">
        <v>166</v>
      </c>
      <c r="C34" s="18" t="n">
        <v>1925100</v>
      </c>
      <c r="D34" s="18" t="n">
        <v>1872660</v>
      </c>
      <c r="E34" s="18" t="n">
        <v>1754900</v>
      </c>
      <c r="F34" s="56" t="n">
        <v>0.0280029476787029</v>
      </c>
      <c r="G34" s="56" t="n">
        <v>0.0671035386631718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</sheetData>
  <mergeCells count="5">
    <mergeCell ref="A1:H1"/>
    <mergeCell ref="B3:G3"/>
    <mergeCell ref="B12:G12"/>
    <mergeCell ref="B21:G21"/>
    <mergeCell ref="B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2026-05-30T08:45:04Z</dcterms:created>
  <dc:creator>openpyxl</dc:creator>
  <dc:description/>
  <dc:language>en-US</dc:language>
  <cp:lastModifiedBy/>
  <dcterms:modified xsi:type="dcterms:W3CDTF">2026-05-30T08:58:45Z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