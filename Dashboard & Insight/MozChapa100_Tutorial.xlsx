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aw Data" sheetId="1" state="visible" r:id="rId3"/>
    <sheet name="📊 MoM Summary" sheetId="2" state="visible" r:id="rId4"/>
    <sheet name="🗺️ By Route" sheetId="3" state="visible" r:id="rId5"/>
    <sheet name="📅 Daily Trends" sheetId="4" state="visible" r:id="rId6"/>
    <sheet name="💳 By Payment" sheetId="5" state="visible" r:id="rId7"/>
    <sheet name="🏆 Perform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<sst xmlns="http://schemas.openxmlformats.org/spreadsheetml/2006/main" count="1669" uniqueCount="104">
  <si>
    <t xml:space="preserve">Date</t>
  </si>
  <si>
    <t xml:space="preserve">Month</t>
  </si>
  <si>
    <t xml:space="preserve">Segment</t>
  </si>
  <si>
    <t xml:space="preserve">Route</t>
  </si>
  <si>
    <t xml:space="preserve">Payment</t>
  </si>
  <si>
    <t xml:space="preserve">Tickets</t>
  </si>
  <si>
    <t xml:space="preserve">Unit Price</t>
  </si>
  <si>
    <t xml:space="preserve">Trips</t>
  </si>
  <si>
    <t xml:space="preserve">Passengers</t>
  </si>
  <si>
    <t xml:space="preserve">Duration (min)</t>
  </si>
  <si>
    <t xml:space="preserve">Revenue (MZN)</t>
  </si>
  <si>
    <t xml:space="preserve">Estudante</t>
  </si>
  <si>
    <t xml:space="preserve">Maputo Centro - Matola</t>
  </si>
  <si>
    <t xml:space="preserve">M-Pesa</t>
  </si>
  <si>
    <t xml:space="preserve">Trabalhador</t>
  </si>
  <si>
    <t xml:space="preserve">Matola - Boane</t>
  </si>
  <si>
    <t xml:space="preserve">e-Mola</t>
  </si>
  <si>
    <t xml:space="preserve">Turista</t>
  </si>
  <si>
    <t xml:space="preserve">Machava - Marracuene</t>
  </si>
  <si>
    <t xml:space="preserve">Maputo Centro - KaMavota</t>
  </si>
  <si>
    <t xml:space="preserve">Numerário</t>
  </si>
  <si>
    <t xml:space="preserve">Maputo Centro - Machava</t>
  </si>
  <si>
    <t xml:space="preserve">🚌  MOZCHAPA100 — Month-on-Month Operations Summary</t>
  </si>
  <si>
    <t xml:space="preserve">🔵 Blue = hardcoded input   🖤 Black = formula   🟢 Green = cross-sheet link</t>
  </si>
  <si>
    <t xml:space="preserve">⚙️  ASSUMPTIONS  (change these cells to update the whole sheet)</t>
  </si>
  <si>
    <t xml:space="preserve">Label</t>
  </si>
  <si>
    <t xml:space="preserve">Value</t>
  </si>
  <si>
    <t xml:space="preserve">Notes</t>
  </si>
  <si>
    <t xml:space="preserve">Mar 2026 — days in month</t>
  </si>
  <si>
    <t xml:space="preserve">March has 31 days</t>
  </si>
  <si>
    <t xml:space="preserve">Apr 2026 — days in month</t>
  </si>
  <si>
    <t xml:space="preserve">April has 30 days</t>
  </si>
  <si>
    <t xml:space="preserve">May 2026 — days in month</t>
  </si>
  <si>
    <t xml:space="preserve">May has 31 days</t>
  </si>
  <si>
    <t xml:space="preserve">Mar 2026 — month number</t>
  </si>
  <si>
    <t xml:space="preserve">Used in SUMPRODUCT formulas</t>
  </si>
  <si>
    <t xml:space="preserve">Apr 2026 — month number</t>
  </si>
  <si>
    <t xml:space="preserve">May 2026 — month number</t>
  </si>
  <si>
    <t xml:space="preserve">📊  MONTH-ON-MONTH TABLE  — Total + by Segment</t>
  </si>
  <si>
    <t xml:space="preserve">Metric / Segment</t>
  </si>
  <si>
    <t xml:space="preserve">Mar 2026
(M1)</t>
  </si>
  <si>
    <t xml:space="preserve">Apr 2026
(M2)</t>
  </si>
  <si>
    <t xml:space="preserve">May 2026
(M3)</t>
  </si>
  <si>
    <t xml:space="preserve">Apr vs Mar
%</t>
  </si>
  <si>
    <t xml:space="preserve">May vs Apr
%</t>
  </si>
  <si>
    <t xml:space="preserve">Apr vs Mar
Abs Diff</t>
  </si>
  <si>
    <t xml:space="preserve">May vs Apr
Abs Diff</t>
  </si>
  <si>
    <t xml:space="preserve">Daily Avg
Mar</t>
  </si>
  <si>
    <t xml:space="preserve">Daily Avg
Apr</t>
  </si>
  <si>
    <t xml:space="preserve">Daily Avg
May</t>
  </si>
  <si>
    <t xml:space="preserve">Daily Avg
May vs Apr Δ</t>
  </si>
  <si>
    <t xml:space="preserve">▶  Revenue (MZN)</t>
  </si>
  <si>
    <t xml:space="preserve">  └ Estudante</t>
  </si>
  <si>
    <t xml:space="preserve">  └ Trabalhador</t>
  </si>
  <si>
    <t xml:space="preserve">  └ Turista</t>
  </si>
  <si>
    <t xml:space="preserve">▶  Trips</t>
  </si>
  <si>
    <t xml:space="preserve">▶  Passengers</t>
  </si>
  <si>
    <t xml:space="preserve">▶  Tickets Sold</t>
  </si>
  <si>
    <t xml:space="preserve">📖  HOW THE FORMULAS WORK</t>
  </si>
  <si>
    <t xml:space="preserve">SUMPRODUCT totals</t>
  </si>
  <si>
    <t xml:space="preserve">SUMPRODUCT((Revenue)*(YEAR(Date)=2026)*(MONTH(Date)=3))</t>
  </si>
  <si>
    <t xml:space="preserve">Adds all Revenue values where year=2026 and month=March</t>
  </si>
  <si>
    <t xml:space="preserve">With segment filter</t>
  </si>
  <si>
    <t xml:space="preserve">SUMPRODUCT((Revenue)*(YEAR(Date)=2026)*(MONTH(Date)=3)*(Segment="Estudante"))</t>
  </si>
  <si>
    <t xml:space="preserve">Same, but only for Estudante rows</t>
  </si>
  <si>
    <t xml:space="preserve">% change</t>
  </si>
  <si>
    <t xml:space="preserve">(Apr / Mar) - 1</t>
  </si>
  <si>
    <t xml:space="preserve">Apr÷Mar minus 1 → percentage growth (positive = growth, negative = decline)</t>
  </si>
  <si>
    <t xml:space="preserve">Absolute diff</t>
  </si>
  <si>
    <t xml:space="preserve">Apr - Mar</t>
  </si>
  <si>
    <t xml:space="preserve">Apr minus Mar → raw difference in units</t>
  </si>
  <si>
    <t xml:space="preserve">Daily average</t>
  </si>
  <si>
    <t xml:space="preserve">C17 / 31   [days in March]</t>
  </si>
  <si>
    <t xml:space="preserve">Total ÷ days in month → average per day</t>
  </si>
  <si>
    <t xml:space="preserve">Daily avg delta</t>
  </si>
  <si>
    <t xml:space="preserve">L17 - K17  [Daily Avg May - Daily Avg Apr]</t>
  </si>
  <si>
    <t xml:space="preserve">May daily avg minus Apr daily avg → improvement per day</t>
  </si>
  <si>
    <t xml:space="preserve">🗺️  MOZCHAPA100 — Revenue by Route (Month-on-Month)</t>
  </si>
  <si>
    <t xml:space="preserve">💰  Revenue by Route</t>
  </si>
  <si>
    <t xml:space="preserve">Mar 2026</t>
  </si>
  <si>
    <t xml:space="preserve">Apr 2026</t>
  </si>
  <si>
    <t xml:space="preserve">May 2026</t>
  </si>
  <si>
    <t xml:space="preserve">Apr vs Mar %</t>
  </si>
  <si>
    <t xml:space="preserve">May vs Apr %</t>
  </si>
  <si>
    <t xml:space="preserve">Apr vs Mar Abs</t>
  </si>
  <si>
    <t xml:space="preserve">May vs Apr Abs</t>
  </si>
  <si>
    <t xml:space="preserve">May
Share %</t>
  </si>
  <si>
    <t xml:space="preserve">TOTAL</t>
  </si>
  <si>
    <t xml:space="preserve">📅  MOZCHAPA100 — Daily Operations Trend (Mar–May 2026)</t>
  </si>
  <si>
    <t xml:space="preserve">💳  MOZCHAPA100 — Revenue by Payment Method</t>
  </si>
  <si>
    <t xml:space="preserve">💰  Revenue by Payment Method — Month-on-Month</t>
  </si>
  <si>
    <t xml:space="preserve">Payment Method</t>
  </si>
  <si>
    <t xml:space="preserve">May Share %</t>
  </si>
  <si>
    <t xml:space="preserve">🏆  MOZCHAPA100 — Route Performers (May 2026)</t>
  </si>
  <si>
    <t xml:space="preserve">🥇  ALL ROUTES — Ranked by May Revenue</t>
  </si>
  <si>
    <t xml:space="preserve">Mar Rev</t>
  </si>
  <si>
    <t xml:space="preserve">Apr Rev</t>
  </si>
  <si>
    <t xml:space="preserve">May Rev</t>
  </si>
  <si>
    <t xml:space="preserve">🥇  Machava - Marracuene</t>
  </si>
  <si>
    <t xml:space="preserve">🥈  Maputo Centro - KaMavota</t>
  </si>
  <si>
    <t xml:space="preserve">🥉  Maputo Centro - Machava</t>
  </si>
  <si>
    <t xml:space="preserve">4️⃣  Maputo Centro - Matola</t>
  </si>
  <si>
    <t xml:space="preserve">5️⃣  Matola - Boane</t>
  </si>
  <si>
    <t xml:space="preserve">💡 TIP FOR STUDENTS: Sort column E (May Rev) Z→A to see top performers. Sort A→Z to see bottom performers. Use conditional formatting on column F to colour-code growth vs decline.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</si>
</sst>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#,##0&quot; MZN&quot;"/>
    <numFmt numFmtId="168" formatCode="0.0%"/>
    <numFmt numFmtId="169" formatCode="dd\-mmm\-yy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A0AEC0"/>
      <name val="Arial"/>
      <family val="0"/>
      <charset val="1"/>
    </font>
    <font>
      <b val="true"/>
      <sz val="12"/>
      <color rgb="FFF6C90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E945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27AE6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3498DB"/>
      <name val="Arial"/>
      <family val="0"/>
      <charset val="1"/>
    </font>
    <font>
      <i val="true"/>
      <sz val="10"/>
      <color rgb="FFE67E22"/>
      <name val="Arial"/>
      <family val="0"/>
      <charset val="1"/>
    </font>
    <font>
      <b val="true"/>
      <sz val="10"/>
      <color rgb="FFF6C90E"/>
      <name val="Arial"/>
      <family val="0"/>
      <charset val="1"/>
    </font>
    <font>
      <sz val="9"/>
      <color rgb="FFFFFFFF"/>
      <name val="Courier New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3498DB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9B59B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9B59B6"/>
      <name val="Arial"/>
      <family val="0"/>
      <charset val="1"/>
    </font>
    <font>
      <b val="true"/>
      <sz val="10"/>
      <color rgb="FF00BFA5"/>
      <name val="Arial"/>
      <family val="0"/>
      <charset val="1"/>
    </font>
    <font>
      <i val="true"/>
      <sz val="10"/>
      <color rgb="FFF6C90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3460"/>
        <bgColor rgb="FF1A2744"/>
      </patternFill>
    </fill>
    <fill>
      <patternFill patternType="solid">
        <fgColor rgb="FF1A2744"/>
        <bgColor rgb="FF16213E"/>
      </patternFill>
    </fill>
    <fill>
      <patternFill patternType="solid">
        <fgColor rgb="FF16213E"/>
        <bgColor rgb="FF1A2744"/>
      </patternFill>
    </fill>
    <fill>
      <patternFill patternType="solid">
        <fgColor rgb="FF1A1A2E"/>
        <bgColor rgb="FF102030"/>
      </patternFill>
    </fill>
    <fill>
      <patternFill patternType="solid">
        <fgColor rgb="FF102030"/>
        <bgColor rgb="FF102020"/>
      </patternFill>
    </fill>
    <fill>
      <patternFill patternType="solid">
        <fgColor rgb="FF102020"/>
        <bgColor rgb="FF102030"/>
      </patternFill>
    </fill>
    <fill>
      <patternFill patternType="solid">
        <fgColor rgb="FF201020"/>
        <bgColor rgb="FF1A1A2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 diagonalUp="false" diagonalDown="false">
      <left/>
      <right/>
      <top/>
      <bottom style="thin">
        <color rgb="FF2D374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02030"/>
      <rgbColor rgb="FF008000"/>
      <rgbColor rgb="FF16213E"/>
      <rgbColor rgb="FF808000"/>
      <rgbColor rgb="FF800080"/>
      <rgbColor rgb="FF008080"/>
      <rgbColor rgb="FFA0AEC0"/>
      <rgbColor rgb="FF878787"/>
      <rgbColor rgb="FF9999FF"/>
      <rgbColor rgb="FFE94560"/>
      <rgbColor rgb="FFFFFFCC"/>
      <rgbColor rgb="FFCCFFFF"/>
      <rgbColor rgb="FF201020"/>
      <rgbColor rgb="FFE74C3C"/>
      <rgbColor rgb="FF0066CC"/>
      <rgbColor rgb="FFD9D9D9"/>
      <rgbColor rgb="FF1A1A2E"/>
      <rgbColor rgb="FFFF00FF"/>
      <rgbColor rgb="FFFFFF00"/>
      <rgbColor rgb="FF00FFFF"/>
      <rgbColor rgb="FF800080"/>
      <rgbColor rgb="FF800000"/>
      <rgbColor rgb="FF008080"/>
      <rgbColor rgb="FF0000FF"/>
      <rgbColor rgb="FF00BFA5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6C90E"/>
      <rgbColor rgb="FFF39C12"/>
      <rgbColor rgb="FFE67E22"/>
      <rgbColor rgb="FF9B59B6"/>
      <rgbColor rgb="FF969696"/>
      <rgbColor rgb="FF0F3460"/>
      <rgbColor rgb="FF27AE60"/>
      <rgbColor rgb="FF102020"/>
      <rgbColor rgb="FF1A2744"/>
      <rgbColor rgb="FF993300"/>
      <rgbColor rgb="FF993366"/>
      <rgbColor rgb="FF444D56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📈 Daily Revenue (MZN)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'📅 Daily Trends'!D2</c:f>
              <c:strCache>
                <c:ptCount val="1"/>
                <c:pt idx="0">
                  <c:v>Revenue (MZN)</c:v>
                </c:pt>
              </c:strCache>
            </c:strRef>
          </c:tx>
          <c:spPr>
            <a:solidFill>
              <a:srgbClr val="e94560"/>
            </a:solidFill>
            <a:ln w="21960">
              <a:solidFill>
                <a:srgbClr val="e9456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Daily Trends'!$B$3:$B$94</c:f>
              <c:strCache>
                <c:ptCount val="92"/>
                <c:pt idx="0">
                  <c:v>01-Mar-26</c:v>
                </c:pt>
                <c:pt idx="1">
                  <c:v>02-Mar-26</c:v>
                </c:pt>
                <c:pt idx="2">
                  <c:v>03-Mar-26</c:v>
                </c:pt>
                <c:pt idx="3">
                  <c:v>04-Mar-26</c:v>
                </c:pt>
                <c:pt idx="4">
                  <c:v>05-Mar-26</c:v>
                </c:pt>
                <c:pt idx="5">
                  <c:v>06-Mar-26</c:v>
                </c:pt>
                <c:pt idx="6">
                  <c:v>07-Mar-26</c:v>
                </c:pt>
                <c:pt idx="7">
                  <c:v>08-Mar-26</c:v>
                </c:pt>
                <c:pt idx="8">
                  <c:v>09-Mar-26</c:v>
                </c:pt>
                <c:pt idx="9">
                  <c:v>10-Mar-26</c:v>
                </c:pt>
                <c:pt idx="10">
                  <c:v>11-Mar-26</c:v>
                </c:pt>
                <c:pt idx="11">
                  <c:v>12-Mar-26</c:v>
                </c:pt>
                <c:pt idx="12">
                  <c:v>13-Mar-26</c:v>
                </c:pt>
                <c:pt idx="13">
                  <c:v>14-Mar-26</c:v>
                </c:pt>
                <c:pt idx="14">
                  <c:v>15-Mar-26</c:v>
                </c:pt>
                <c:pt idx="15">
                  <c:v>16-Mar-26</c:v>
                </c:pt>
                <c:pt idx="16">
                  <c:v>17-Mar-26</c:v>
                </c:pt>
                <c:pt idx="17">
                  <c:v>18-Mar-26</c:v>
                </c:pt>
                <c:pt idx="18">
                  <c:v>19-Mar-26</c:v>
                </c:pt>
                <c:pt idx="19">
                  <c:v>20-Mar-26</c:v>
                </c:pt>
                <c:pt idx="20">
                  <c:v>21-Mar-26</c:v>
                </c:pt>
                <c:pt idx="21">
                  <c:v>22-Mar-26</c:v>
                </c:pt>
                <c:pt idx="22">
                  <c:v>23-Mar-26</c:v>
                </c:pt>
                <c:pt idx="23">
                  <c:v>24-Mar-26</c:v>
                </c:pt>
                <c:pt idx="24">
                  <c:v>25-Mar-26</c:v>
                </c:pt>
                <c:pt idx="25">
                  <c:v>26-Mar-26</c:v>
                </c:pt>
                <c:pt idx="26">
                  <c:v>27-Mar-26</c:v>
                </c:pt>
                <c:pt idx="27">
                  <c:v>28-Mar-26</c:v>
                </c:pt>
                <c:pt idx="28">
                  <c:v>29-Mar-26</c:v>
                </c:pt>
                <c:pt idx="29">
                  <c:v>30-Mar-26</c:v>
                </c:pt>
                <c:pt idx="30">
                  <c:v>31-Mar-26</c:v>
                </c:pt>
                <c:pt idx="31">
                  <c:v>01-Apr-26</c:v>
                </c:pt>
                <c:pt idx="32">
                  <c:v>02-Apr-26</c:v>
                </c:pt>
                <c:pt idx="33">
                  <c:v>03-Apr-26</c:v>
                </c:pt>
                <c:pt idx="34">
                  <c:v>04-Apr-26</c:v>
                </c:pt>
                <c:pt idx="35">
                  <c:v>05-Apr-26</c:v>
                </c:pt>
                <c:pt idx="36">
                  <c:v>06-Apr-26</c:v>
                </c:pt>
                <c:pt idx="37">
                  <c:v>07-Apr-26</c:v>
                </c:pt>
                <c:pt idx="38">
                  <c:v>08-Apr-26</c:v>
                </c:pt>
                <c:pt idx="39">
                  <c:v>09-Apr-26</c:v>
                </c:pt>
                <c:pt idx="40">
                  <c:v>10-Apr-26</c:v>
                </c:pt>
                <c:pt idx="41">
                  <c:v>11-Apr-26</c:v>
                </c:pt>
                <c:pt idx="42">
                  <c:v>12-Apr-26</c:v>
                </c:pt>
                <c:pt idx="43">
                  <c:v>13-Apr-26</c:v>
                </c:pt>
                <c:pt idx="44">
                  <c:v>14-Apr-26</c:v>
                </c:pt>
                <c:pt idx="45">
                  <c:v>15-Apr-26</c:v>
                </c:pt>
                <c:pt idx="46">
                  <c:v>16-Apr-26</c:v>
                </c:pt>
                <c:pt idx="47">
                  <c:v>17-Apr-26</c:v>
                </c:pt>
                <c:pt idx="48">
                  <c:v>18-Apr-26</c:v>
                </c:pt>
                <c:pt idx="49">
                  <c:v>19-Apr-26</c:v>
                </c:pt>
                <c:pt idx="50">
                  <c:v>20-Apr-26</c:v>
                </c:pt>
                <c:pt idx="51">
                  <c:v>21-Apr-26</c:v>
                </c:pt>
                <c:pt idx="52">
                  <c:v>22-Apr-26</c:v>
                </c:pt>
                <c:pt idx="53">
                  <c:v>23-Apr-26</c:v>
                </c:pt>
                <c:pt idx="54">
                  <c:v>24-Apr-26</c:v>
                </c:pt>
                <c:pt idx="55">
                  <c:v>25-Apr-26</c:v>
                </c:pt>
                <c:pt idx="56">
                  <c:v>26-Apr-26</c:v>
                </c:pt>
                <c:pt idx="57">
                  <c:v>27-Apr-26</c:v>
                </c:pt>
                <c:pt idx="58">
                  <c:v>28-Apr-26</c:v>
                </c:pt>
                <c:pt idx="59">
                  <c:v>29-Apr-26</c:v>
                </c:pt>
                <c:pt idx="60">
                  <c:v>30-Apr-26</c:v>
                </c:pt>
                <c:pt idx="61">
                  <c:v>01-May-26</c:v>
                </c:pt>
                <c:pt idx="62">
                  <c:v>02-May-26</c:v>
                </c:pt>
                <c:pt idx="63">
                  <c:v>03-May-26</c:v>
                </c:pt>
                <c:pt idx="64">
                  <c:v>04-May-26</c:v>
                </c:pt>
                <c:pt idx="65">
                  <c:v>05-May-26</c:v>
                </c:pt>
                <c:pt idx="66">
                  <c:v>06-May-26</c:v>
                </c:pt>
                <c:pt idx="67">
                  <c:v>07-May-26</c:v>
                </c:pt>
                <c:pt idx="68">
                  <c:v>08-May-26</c:v>
                </c:pt>
                <c:pt idx="69">
                  <c:v>09-May-26</c:v>
                </c:pt>
                <c:pt idx="70">
                  <c:v>10-May-26</c:v>
                </c:pt>
                <c:pt idx="71">
                  <c:v>11-May-26</c:v>
                </c:pt>
                <c:pt idx="72">
                  <c:v>12-May-26</c:v>
                </c:pt>
                <c:pt idx="73">
                  <c:v>13-May-26</c:v>
                </c:pt>
                <c:pt idx="74">
                  <c:v>14-May-26</c:v>
                </c:pt>
                <c:pt idx="75">
                  <c:v>15-May-26</c:v>
                </c:pt>
                <c:pt idx="76">
                  <c:v>16-May-26</c:v>
                </c:pt>
                <c:pt idx="77">
                  <c:v>17-May-26</c:v>
                </c:pt>
                <c:pt idx="78">
                  <c:v>18-May-26</c:v>
                </c:pt>
                <c:pt idx="79">
                  <c:v>19-May-26</c:v>
                </c:pt>
                <c:pt idx="80">
                  <c:v>20-May-26</c:v>
                </c:pt>
                <c:pt idx="81">
                  <c:v>21-May-26</c:v>
                </c:pt>
                <c:pt idx="82">
                  <c:v>22-May-26</c:v>
                </c:pt>
                <c:pt idx="83">
                  <c:v>23-May-26</c:v>
                </c:pt>
                <c:pt idx="84">
                  <c:v>24-May-26</c:v>
                </c:pt>
                <c:pt idx="85">
                  <c:v>25-May-26</c:v>
                </c:pt>
                <c:pt idx="86">
                  <c:v>26-May-26</c:v>
                </c:pt>
                <c:pt idx="87">
                  <c:v>27-May-26</c:v>
                </c:pt>
                <c:pt idx="88">
                  <c:v>28-May-26</c:v>
                </c:pt>
                <c:pt idx="89">
                  <c:v>29-May-26</c:v>
                </c:pt>
                <c:pt idx="90">
                  <c:v>30-May-26</c:v>
                </c:pt>
                <c:pt idx="91">
                  <c:v>31-May-26</c:v>
                </c:pt>
              </c:strCache>
            </c:strRef>
          </c:cat>
          <c:val>
            <c:numRef>
              <c:f>'📅 Daily Trends'!$D$3:$D$94</c:f>
              <c:numCache>
                <c:formatCode>#,##0" MZN"</c:formatCode>
                <c:ptCount val="92"/>
                <c:pt idx="0">
                  <c:v>457700</c:v>
                </c:pt>
                <c:pt idx="1">
                  <c:v>335800</c:v>
                </c:pt>
                <c:pt idx="2">
                  <c:v>340400</c:v>
                </c:pt>
                <c:pt idx="3">
                  <c:v>330740</c:v>
                </c:pt>
                <c:pt idx="4">
                  <c:v>270480</c:v>
                </c:pt>
                <c:pt idx="5">
                  <c:v>202400</c:v>
                </c:pt>
                <c:pt idx="6">
                  <c:v>356040</c:v>
                </c:pt>
                <c:pt idx="7">
                  <c:v>402040</c:v>
                </c:pt>
                <c:pt idx="8">
                  <c:v>571780</c:v>
                </c:pt>
                <c:pt idx="9">
                  <c:v>312800</c:v>
                </c:pt>
                <c:pt idx="10">
                  <c:v>324300</c:v>
                </c:pt>
                <c:pt idx="11">
                  <c:v>415380</c:v>
                </c:pt>
                <c:pt idx="12">
                  <c:v>146280</c:v>
                </c:pt>
                <c:pt idx="13">
                  <c:v>240580</c:v>
                </c:pt>
                <c:pt idx="14">
                  <c:v>326600</c:v>
                </c:pt>
                <c:pt idx="15">
                  <c:v>159160</c:v>
                </c:pt>
                <c:pt idx="16">
                  <c:v>365700</c:v>
                </c:pt>
                <c:pt idx="17">
                  <c:v>287960</c:v>
                </c:pt>
                <c:pt idx="18">
                  <c:v>204700</c:v>
                </c:pt>
                <c:pt idx="19">
                  <c:v>201940</c:v>
                </c:pt>
                <c:pt idx="20">
                  <c:v>443900</c:v>
                </c:pt>
                <c:pt idx="21">
                  <c:v>167900</c:v>
                </c:pt>
                <c:pt idx="22">
                  <c:v>337180</c:v>
                </c:pt>
                <c:pt idx="23">
                  <c:v>351900</c:v>
                </c:pt>
                <c:pt idx="24">
                  <c:v>416300</c:v>
                </c:pt>
                <c:pt idx="25">
                  <c:v>639400</c:v>
                </c:pt>
                <c:pt idx="26">
                  <c:v>499100</c:v>
                </c:pt>
                <c:pt idx="27">
                  <c:v>259900</c:v>
                </c:pt>
                <c:pt idx="28">
                  <c:v>406640</c:v>
                </c:pt>
                <c:pt idx="29">
                  <c:v>426880</c:v>
                </c:pt>
                <c:pt idx="30">
                  <c:v>195960</c:v>
                </c:pt>
                <c:pt idx="31">
                  <c:v>165600</c:v>
                </c:pt>
                <c:pt idx="32">
                  <c:v>471500</c:v>
                </c:pt>
                <c:pt idx="33">
                  <c:v>205160</c:v>
                </c:pt>
                <c:pt idx="34">
                  <c:v>533140</c:v>
                </c:pt>
                <c:pt idx="35">
                  <c:v>184000</c:v>
                </c:pt>
                <c:pt idx="36">
                  <c:v>374900</c:v>
                </c:pt>
                <c:pt idx="37">
                  <c:v>331660</c:v>
                </c:pt>
                <c:pt idx="38">
                  <c:v>441140</c:v>
                </c:pt>
                <c:pt idx="39">
                  <c:v>143520</c:v>
                </c:pt>
                <c:pt idx="40">
                  <c:v>549700</c:v>
                </c:pt>
                <c:pt idx="41">
                  <c:v>272320</c:v>
                </c:pt>
                <c:pt idx="42">
                  <c:v>383640</c:v>
                </c:pt>
                <c:pt idx="43">
                  <c:v>299460</c:v>
                </c:pt>
                <c:pt idx="44">
                  <c:v>420900</c:v>
                </c:pt>
                <c:pt idx="45">
                  <c:v>369380</c:v>
                </c:pt>
                <c:pt idx="46">
                  <c:v>82800</c:v>
                </c:pt>
                <c:pt idx="47">
                  <c:v>349140</c:v>
                </c:pt>
                <c:pt idx="48">
                  <c:v>398820</c:v>
                </c:pt>
                <c:pt idx="49">
                  <c:v>441600</c:v>
                </c:pt>
                <c:pt idx="50">
                  <c:v>297160</c:v>
                </c:pt>
                <c:pt idx="51">
                  <c:v>404800</c:v>
                </c:pt>
                <c:pt idx="52">
                  <c:v>176180</c:v>
                </c:pt>
                <c:pt idx="53">
                  <c:v>184000</c:v>
                </c:pt>
                <c:pt idx="54">
                  <c:v>392840</c:v>
                </c:pt>
                <c:pt idx="55">
                  <c:v>531300</c:v>
                </c:pt>
                <c:pt idx="56">
                  <c:v>416300</c:v>
                </c:pt>
                <c:pt idx="57">
                  <c:v>249780</c:v>
                </c:pt>
                <c:pt idx="58">
                  <c:v>608120</c:v>
                </c:pt>
                <c:pt idx="59">
                  <c:v>159160</c:v>
                </c:pt>
                <c:pt idx="60">
                  <c:v>251620</c:v>
                </c:pt>
                <c:pt idx="61">
                  <c:v>357880</c:v>
                </c:pt>
                <c:pt idx="62">
                  <c:v>322000</c:v>
                </c:pt>
                <c:pt idx="63">
                  <c:v>171580</c:v>
                </c:pt>
                <c:pt idx="64">
                  <c:v>305440</c:v>
                </c:pt>
                <c:pt idx="65">
                  <c:v>247480</c:v>
                </c:pt>
                <c:pt idx="66">
                  <c:v>259900</c:v>
                </c:pt>
                <c:pt idx="67">
                  <c:v>412620</c:v>
                </c:pt>
                <c:pt idx="68">
                  <c:v>358800</c:v>
                </c:pt>
                <c:pt idx="69">
                  <c:v>239200</c:v>
                </c:pt>
                <c:pt idx="70">
                  <c:v>246100</c:v>
                </c:pt>
                <c:pt idx="71">
                  <c:v>349600</c:v>
                </c:pt>
                <c:pt idx="72">
                  <c:v>391000</c:v>
                </c:pt>
                <c:pt idx="73">
                  <c:v>530840</c:v>
                </c:pt>
                <c:pt idx="74">
                  <c:v>495420</c:v>
                </c:pt>
                <c:pt idx="75">
                  <c:v>162840</c:v>
                </c:pt>
                <c:pt idx="76">
                  <c:v>514740</c:v>
                </c:pt>
                <c:pt idx="77">
                  <c:v>358800</c:v>
                </c:pt>
                <c:pt idx="78">
                  <c:v>402500</c:v>
                </c:pt>
                <c:pt idx="79">
                  <c:v>316480</c:v>
                </c:pt>
                <c:pt idx="80">
                  <c:v>333500</c:v>
                </c:pt>
                <c:pt idx="81">
                  <c:v>260820</c:v>
                </c:pt>
                <c:pt idx="82">
                  <c:v>247480</c:v>
                </c:pt>
                <c:pt idx="83">
                  <c:v>394680</c:v>
                </c:pt>
                <c:pt idx="84">
                  <c:v>333040</c:v>
                </c:pt>
                <c:pt idx="85">
                  <c:v>307740</c:v>
                </c:pt>
                <c:pt idx="86">
                  <c:v>44620</c:v>
                </c:pt>
                <c:pt idx="87">
                  <c:v>103500</c:v>
                </c:pt>
                <c:pt idx="88">
                  <c:v>255760</c:v>
                </c:pt>
                <c:pt idx="89">
                  <c:v>217120</c:v>
                </c:pt>
                <c:pt idx="90">
                  <c:v>213900</c:v>
                </c:pt>
                <c:pt idx="91">
                  <c:v>454020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163058"/>
        <c:axId val="18882022"/>
      </c:lineChart>
      <c:catAx>
        <c:axId val="71163058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82022"/>
        <c:crosses val="autoZero"/>
        <c:auto val="1"/>
        <c:lblAlgn val="ctr"/>
        <c:lblOffset val="100"/>
        <c:noMultiLvlLbl val="0"/>
      </c:catAx>
      <c:valAx>
        <c:axId val="18882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(MZN)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630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🚌 Daily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'📅 Daily Trends'!E2</c:f>
              <c:strCache>
                <c:ptCount val="1"/>
                <c:pt idx="0">
                  <c:v>Trips</c:v>
                </c:pt>
              </c:strCache>
            </c:strRef>
          </c:tx>
          <c:spPr>
            <a:solidFill>
              <a:srgbClr val="3498db"/>
            </a:solidFill>
            <a:ln w="21960">
              <a:solidFill>
                <a:srgbClr val="3498d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Daily Trends'!$B$3:$B$94</c:f>
              <c:strCache>
                <c:ptCount val="92"/>
                <c:pt idx="0">
                  <c:v>01-Mar-26</c:v>
                </c:pt>
                <c:pt idx="1">
                  <c:v>02-Mar-26</c:v>
                </c:pt>
                <c:pt idx="2">
                  <c:v>03-Mar-26</c:v>
                </c:pt>
                <c:pt idx="3">
                  <c:v>04-Mar-26</c:v>
                </c:pt>
                <c:pt idx="4">
                  <c:v>05-Mar-26</c:v>
                </c:pt>
                <c:pt idx="5">
                  <c:v>06-Mar-26</c:v>
                </c:pt>
                <c:pt idx="6">
                  <c:v>07-Mar-26</c:v>
                </c:pt>
                <c:pt idx="7">
                  <c:v>08-Mar-26</c:v>
                </c:pt>
                <c:pt idx="8">
                  <c:v>09-Mar-26</c:v>
                </c:pt>
                <c:pt idx="9">
                  <c:v>10-Mar-26</c:v>
                </c:pt>
                <c:pt idx="10">
                  <c:v>11-Mar-26</c:v>
                </c:pt>
                <c:pt idx="11">
                  <c:v>12-Mar-26</c:v>
                </c:pt>
                <c:pt idx="12">
                  <c:v>13-Mar-26</c:v>
                </c:pt>
                <c:pt idx="13">
                  <c:v>14-Mar-26</c:v>
                </c:pt>
                <c:pt idx="14">
                  <c:v>15-Mar-26</c:v>
                </c:pt>
                <c:pt idx="15">
                  <c:v>16-Mar-26</c:v>
                </c:pt>
                <c:pt idx="16">
                  <c:v>17-Mar-26</c:v>
                </c:pt>
                <c:pt idx="17">
                  <c:v>18-Mar-26</c:v>
                </c:pt>
                <c:pt idx="18">
                  <c:v>19-Mar-26</c:v>
                </c:pt>
                <c:pt idx="19">
                  <c:v>20-Mar-26</c:v>
                </c:pt>
                <c:pt idx="20">
                  <c:v>21-Mar-26</c:v>
                </c:pt>
                <c:pt idx="21">
                  <c:v>22-Mar-26</c:v>
                </c:pt>
                <c:pt idx="22">
                  <c:v>23-Mar-26</c:v>
                </c:pt>
                <c:pt idx="23">
                  <c:v>24-Mar-26</c:v>
                </c:pt>
                <c:pt idx="24">
                  <c:v>25-Mar-26</c:v>
                </c:pt>
                <c:pt idx="25">
                  <c:v>26-Mar-26</c:v>
                </c:pt>
                <c:pt idx="26">
                  <c:v>27-Mar-26</c:v>
                </c:pt>
                <c:pt idx="27">
                  <c:v>28-Mar-26</c:v>
                </c:pt>
                <c:pt idx="28">
                  <c:v>29-Mar-26</c:v>
                </c:pt>
                <c:pt idx="29">
                  <c:v>30-Mar-26</c:v>
                </c:pt>
                <c:pt idx="30">
                  <c:v>31-Mar-26</c:v>
                </c:pt>
                <c:pt idx="31">
                  <c:v>01-Apr-26</c:v>
                </c:pt>
                <c:pt idx="32">
                  <c:v>02-Apr-26</c:v>
                </c:pt>
                <c:pt idx="33">
                  <c:v>03-Apr-26</c:v>
                </c:pt>
                <c:pt idx="34">
                  <c:v>04-Apr-26</c:v>
                </c:pt>
                <c:pt idx="35">
                  <c:v>05-Apr-26</c:v>
                </c:pt>
                <c:pt idx="36">
                  <c:v>06-Apr-26</c:v>
                </c:pt>
                <c:pt idx="37">
                  <c:v>07-Apr-26</c:v>
                </c:pt>
                <c:pt idx="38">
                  <c:v>08-Apr-26</c:v>
                </c:pt>
                <c:pt idx="39">
                  <c:v>09-Apr-26</c:v>
                </c:pt>
                <c:pt idx="40">
                  <c:v>10-Apr-26</c:v>
                </c:pt>
                <c:pt idx="41">
                  <c:v>11-Apr-26</c:v>
                </c:pt>
                <c:pt idx="42">
                  <c:v>12-Apr-26</c:v>
                </c:pt>
                <c:pt idx="43">
                  <c:v>13-Apr-26</c:v>
                </c:pt>
                <c:pt idx="44">
                  <c:v>14-Apr-26</c:v>
                </c:pt>
                <c:pt idx="45">
                  <c:v>15-Apr-26</c:v>
                </c:pt>
                <c:pt idx="46">
                  <c:v>16-Apr-26</c:v>
                </c:pt>
                <c:pt idx="47">
                  <c:v>17-Apr-26</c:v>
                </c:pt>
                <c:pt idx="48">
                  <c:v>18-Apr-26</c:v>
                </c:pt>
                <c:pt idx="49">
                  <c:v>19-Apr-26</c:v>
                </c:pt>
                <c:pt idx="50">
                  <c:v>20-Apr-26</c:v>
                </c:pt>
                <c:pt idx="51">
                  <c:v>21-Apr-26</c:v>
                </c:pt>
                <c:pt idx="52">
                  <c:v>22-Apr-26</c:v>
                </c:pt>
                <c:pt idx="53">
                  <c:v>23-Apr-26</c:v>
                </c:pt>
                <c:pt idx="54">
                  <c:v>24-Apr-26</c:v>
                </c:pt>
                <c:pt idx="55">
                  <c:v>25-Apr-26</c:v>
                </c:pt>
                <c:pt idx="56">
                  <c:v>26-Apr-26</c:v>
                </c:pt>
                <c:pt idx="57">
                  <c:v>27-Apr-26</c:v>
                </c:pt>
                <c:pt idx="58">
                  <c:v>28-Apr-26</c:v>
                </c:pt>
                <c:pt idx="59">
                  <c:v>29-Apr-26</c:v>
                </c:pt>
                <c:pt idx="60">
                  <c:v>30-Apr-26</c:v>
                </c:pt>
                <c:pt idx="61">
                  <c:v>01-May-26</c:v>
                </c:pt>
                <c:pt idx="62">
                  <c:v>02-May-26</c:v>
                </c:pt>
                <c:pt idx="63">
                  <c:v>03-May-26</c:v>
                </c:pt>
                <c:pt idx="64">
                  <c:v>04-May-26</c:v>
                </c:pt>
                <c:pt idx="65">
                  <c:v>05-May-26</c:v>
                </c:pt>
                <c:pt idx="66">
                  <c:v>06-May-26</c:v>
                </c:pt>
                <c:pt idx="67">
                  <c:v>07-May-26</c:v>
                </c:pt>
                <c:pt idx="68">
                  <c:v>08-May-26</c:v>
                </c:pt>
                <c:pt idx="69">
                  <c:v>09-May-26</c:v>
                </c:pt>
                <c:pt idx="70">
                  <c:v>10-May-26</c:v>
                </c:pt>
                <c:pt idx="71">
                  <c:v>11-May-26</c:v>
                </c:pt>
                <c:pt idx="72">
                  <c:v>12-May-26</c:v>
                </c:pt>
                <c:pt idx="73">
                  <c:v>13-May-26</c:v>
                </c:pt>
                <c:pt idx="74">
                  <c:v>14-May-26</c:v>
                </c:pt>
                <c:pt idx="75">
                  <c:v>15-May-26</c:v>
                </c:pt>
                <c:pt idx="76">
                  <c:v>16-May-26</c:v>
                </c:pt>
                <c:pt idx="77">
                  <c:v>17-May-26</c:v>
                </c:pt>
                <c:pt idx="78">
                  <c:v>18-May-26</c:v>
                </c:pt>
                <c:pt idx="79">
                  <c:v>19-May-26</c:v>
                </c:pt>
                <c:pt idx="80">
                  <c:v>20-May-26</c:v>
                </c:pt>
                <c:pt idx="81">
                  <c:v>21-May-26</c:v>
                </c:pt>
                <c:pt idx="82">
                  <c:v>22-May-26</c:v>
                </c:pt>
                <c:pt idx="83">
                  <c:v>23-May-26</c:v>
                </c:pt>
                <c:pt idx="84">
                  <c:v>24-May-26</c:v>
                </c:pt>
                <c:pt idx="85">
                  <c:v>25-May-26</c:v>
                </c:pt>
                <c:pt idx="86">
                  <c:v>26-May-26</c:v>
                </c:pt>
                <c:pt idx="87">
                  <c:v>27-May-26</c:v>
                </c:pt>
                <c:pt idx="88">
                  <c:v>28-May-26</c:v>
                </c:pt>
                <c:pt idx="89">
                  <c:v>29-May-26</c:v>
                </c:pt>
                <c:pt idx="90">
                  <c:v>30-May-26</c:v>
                </c:pt>
                <c:pt idx="91">
                  <c:v>31-May-26</c:v>
                </c:pt>
              </c:strCache>
            </c:strRef>
          </c:cat>
          <c:val>
            <c:numRef>
              <c:f>'📅 Daily Trends'!$E$3:$E$94</c:f>
              <c:numCache>
                <c:formatCode>#,##0</c:formatCode>
                <c:ptCount val="92"/>
                <c:pt idx="0">
                  <c:v>6164</c:v>
                </c:pt>
                <c:pt idx="1">
                  <c:v>7360</c:v>
                </c:pt>
                <c:pt idx="2">
                  <c:v>6900</c:v>
                </c:pt>
                <c:pt idx="3">
                  <c:v>8280</c:v>
                </c:pt>
                <c:pt idx="4">
                  <c:v>5796</c:v>
                </c:pt>
                <c:pt idx="5">
                  <c:v>4784</c:v>
                </c:pt>
                <c:pt idx="6">
                  <c:v>5244</c:v>
                </c:pt>
                <c:pt idx="7">
                  <c:v>6532</c:v>
                </c:pt>
                <c:pt idx="8">
                  <c:v>4692</c:v>
                </c:pt>
                <c:pt idx="9">
                  <c:v>4416</c:v>
                </c:pt>
                <c:pt idx="10">
                  <c:v>6256</c:v>
                </c:pt>
                <c:pt idx="11">
                  <c:v>5796</c:v>
                </c:pt>
                <c:pt idx="12">
                  <c:v>5244</c:v>
                </c:pt>
                <c:pt idx="13">
                  <c:v>4048</c:v>
                </c:pt>
                <c:pt idx="14">
                  <c:v>5980</c:v>
                </c:pt>
                <c:pt idx="15">
                  <c:v>5704</c:v>
                </c:pt>
                <c:pt idx="16">
                  <c:v>4784</c:v>
                </c:pt>
                <c:pt idx="17">
                  <c:v>3496</c:v>
                </c:pt>
                <c:pt idx="18">
                  <c:v>6624</c:v>
                </c:pt>
                <c:pt idx="19">
                  <c:v>4232</c:v>
                </c:pt>
                <c:pt idx="20">
                  <c:v>5612</c:v>
                </c:pt>
                <c:pt idx="21">
                  <c:v>3036</c:v>
                </c:pt>
                <c:pt idx="22">
                  <c:v>6808</c:v>
                </c:pt>
                <c:pt idx="23">
                  <c:v>3864</c:v>
                </c:pt>
                <c:pt idx="24">
                  <c:v>7176</c:v>
                </c:pt>
                <c:pt idx="25">
                  <c:v>10856</c:v>
                </c:pt>
                <c:pt idx="26">
                  <c:v>6164</c:v>
                </c:pt>
                <c:pt idx="27">
                  <c:v>4232</c:v>
                </c:pt>
                <c:pt idx="28">
                  <c:v>8004</c:v>
                </c:pt>
                <c:pt idx="29">
                  <c:v>5704</c:v>
                </c:pt>
                <c:pt idx="30">
                  <c:v>7268</c:v>
                </c:pt>
                <c:pt idx="31">
                  <c:v>5520</c:v>
                </c:pt>
                <c:pt idx="32">
                  <c:v>9200</c:v>
                </c:pt>
                <c:pt idx="33">
                  <c:v>4968</c:v>
                </c:pt>
                <c:pt idx="34">
                  <c:v>5060</c:v>
                </c:pt>
                <c:pt idx="35">
                  <c:v>4508</c:v>
                </c:pt>
                <c:pt idx="36">
                  <c:v>7268</c:v>
                </c:pt>
                <c:pt idx="37">
                  <c:v>4508</c:v>
                </c:pt>
                <c:pt idx="38">
                  <c:v>5428</c:v>
                </c:pt>
                <c:pt idx="39">
                  <c:v>2484</c:v>
                </c:pt>
                <c:pt idx="40">
                  <c:v>5704</c:v>
                </c:pt>
                <c:pt idx="41">
                  <c:v>4140</c:v>
                </c:pt>
                <c:pt idx="42">
                  <c:v>5704</c:v>
                </c:pt>
                <c:pt idx="43">
                  <c:v>5336</c:v>
                </c:pt>
                <c:pt idx="44">
                  <c:v>5152</c:v>
                </c:pt>
                <c:pt idx="45">
                  <c:v>8464</c:v>
                </c:pt>
                <c:pt idx="46">
                  <c:v>3956</c:v>
                </c:pt>
                <c:pt idx="47">
                  <c:v>3956</c:v>
                </c:pt>
                <c:pt idx="48">
                  <c:v>5704</c:v>
                </c:pt>
                <c:pt idx="49">
                  <c:v>9016</c:v>
                </c:pt>
                <c:pt idx="50">
                  <c:v>7268</c:v>
                </c:pt>
                <c:pt idx="51">
                  <c:v>4508</c:v>
                </c:pt>
                <c:pt idx="52">
                  <c:v>3404</c:v>
                </c:pt>
                <c:pt idx="53">
                  <c:v>4048</c:v>
                </c:pt>
                <c:pt idx="54">
                  <c:v>7452</c:v>
                </c:pt>
                <c:pt idx="55">
                  <c:v>8648</c:v>
                </c:pt>
                <c:pt idx="56">
                  <c:v>2760</c:v>
                </c:pt>
                <c:pt idx="57">
                  <c:v>7544</c:v>
                </c:pt>
                <c:pt idx="58">
                  <c:v>7084</c:v>
                </c:pt>
                <c:pt idx="59">
                  <c:v>4048</c:v>
                </c:pt>
                <c:pt idx="60">
                  <c:v>4876</c:v>
                </c:pt>
                <c:pt idx="61">
                  <c:v>8004</c:v>
                </c:pt>
                <c:pt idx="62">
                  <c:v>3772</c:v>
                </c:pt>
                <c:pt idx="63">
                  <c:v>6992</c:v>
                </c:pt>
                <c:pt idx="64">
                  <c:v>2024</c:v>
                </c:pt>
                <c:pt idx="65">
                  <c:v>3680</c:v>
                </c:pt>
                <c:pt idx="66">
                  <c:v>6624</c:v>
                </c:pt>
                <c:pt idx="67">
                  <c:v>4968</c:v>
                </c:pt>
                <c:pt idx="68">
                  <c:v>8648</c:v>
                </c:pt>
                <c:pt idx="69">
                  <c:v>7176</c:v>
                </c:pt>
                <c:pt idx="70">
                  <c:v>4600</c:v>
                </c:pt>
                <c:pt idx="71">
                  <c:v>5152</c:v>
                </c:pt>
                <c:pt idx="72">
                  <c:v>6624</c:v>
                </c:pt>
                <c:pt idx="73">
                  <c:v>5796</c:v>
                </c:pt>
                <c:pt idx="74">
                  <c:v>6808</c:v>
                </c:pt>
                <c:pt idx="75">
                  <c:v>5428</c:v>
                </c:pt>
                <c:pt idx="76">
                  <c:v>6808</c:v>
                </c:pt>
                <c:pt idx="77">
                  <c:v>2484</c:v>
                </c:pt>
                <c:pt idx="78">
                  <c:v>7176</c:v>
                </c:pt>
                <c:pt idx="79">
                  <c:v>6532</c:v>
                </c:pt>
                <c:pt idx="80">
                  <c:v>4416</c:v>
                </c:pt>
                <c:pt idx="81">
                  <c:v>5244</c:v>
                </c:pt>
                <c:pt idx="82">
                  <c:v>5060</c:v>
                </c:pt>
                <c:pt idx="83">
                  <c:v>5244</c:v>
                </c:pt>
                <c:pt idx="84">
                  <c:v>9936</c:v>
                </c:pt>
                <c:pt idx="85">
                  <c:v>2668</c:v>
                </c:pt>
                <c:pt idx="86">
                  <c:v>4140</c:v>
                </c:pt>
                <c:pt idx="87">
                  <c:v>3220</c:v>
                </c:pt>
                <c:pt idx="88">
                  <c:v>9568</c:v>
                </c:pt>
                <c:pt idx="89">
                  <c:v>3680</c:v>
                </c:pt>
                <c:pt idx="90">
                  <c:v>3496</c:v>
                </c:pt>
                <c:pt idx="91">
                  <c:v>5244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925758"/>
        <c:axId val="41594428"/>
      </c:lineChart>
      <c:catAx>
        <c:axId val="80925758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94428"/>
        <c:crosses val="autoZero"/>
        <c:auto val="1"/>
        <c:lblAlgn val="ctr"/>
        <c:lblOffset val="100"/>
        <c:noMultiLvlLbl val="0"/>
      </c:catAx>
      <c:valAx>
        <c:axId val="41594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257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👥 Daily Passengers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'📅 Daily Trends'!F2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27ae60"/>
            </a:solidFill>
            <a:ln w="219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Daily Trends'!$B$3:$B$94</c:f>
              <c:strCache>
                <c:ptCount val="92"/>
                <c:pt idx="0">
                  <c:v>01-Mar-26</c:v>
                </c:pt>
                <c:pt idx="1">
                  <c:v>02-Mar-26</c:v>
                </c:pt>
                <c:pt idx="2">
                  <c:v>03-Mar-26</c:v>
                </c:pt>
                <c:pt idx="3">
                  <c:v>04-Mar-26</c:v>
                </c:pt>
                <c:pt idx="4">
                  <c:v>05-Mar-26</c:v>
                </c:pt>
                <c:pt idx="5">
                  <c:v>06-Mar-26</c:v>
                </c:pt>
                <c:pt idx="6">
                  <c:v>07-Mar-26</c:v>
                </c:pt>
                <c:pt idx="7">
                  <c:v>08-Mar-26</c:v>
                </c:pt>
                <c:pt idx="8">
                  <c:v>09-Mar-26</c:v>
                </c:pt>
                <c:pt idx="9">
                  <c:v>10-Mar-26</c:v>
                </c:pt>
                <c:pt idx="10">
                  <c:v>11-Mar-26</c:v>
                </c:pt>
                <c:pt idx="11">
                  <c:v>12-Mar-26</c:v>
                </c:pt>
                <c:pt idx="12">
                  <c:v>13-Mar-26</c:v>
                </c:pt>
                <c:pt idx="13">
                  <c:v>14-Mar-26</c:v>
                </c:pt>
                <c:pt idx="14">
                  <c:v>15-Mar-26</c:v>
                </c:pt>
                <c:pt idx="15">
                  <c:v>16-Mar-26</c:v>
                </c:pt>
                <c:pt idx="16">
                  <c:v>17-Mar-26</c:v>
                </c:pt>
                <c:pt idx="17">
                  <c:v>18-Mar-26</c:v>
                </c:pt>
                <c:pt idx="18">
                  <c:v>19-Mar-26</c:v>
                </c:pt>
                <c:pt idx="19">
                  <c:v>20-Mar-26</c:v>
                </c:pt>
                <c:pt idx="20">
                  <c:v>21-Mar-26</c:v>
                </c:pt>
                <c:pt idx="21">
                  <c:v>22-Mar-26</c:v>
                </c:pt>
                <c:pt idx="22">
                  <c:v>23-Mar-26</c:v>
                </c:pt>
                <c:pt idx="23">
                  <c:v>24-Mar-26</c:v>
                </c:pt>
                <c:pt idx="24">
                  <c:v>25-Mar-26</c:v>
                </c:pt>
                <c:pt idx="25">
                  <c:v>26-Mar-26</c:v>
                </c:pt>
                <c:pt idx="26">
                  <c:v>27-Mar-26</c:v>
                </c:pt>
                <c:pt idx="27">
                  <c:v>28-Mar-26</c:v>
                </c:pt>
                <c:pt idx="28">
                  <c:v>29-Mar-26</c:v>
                </c:pt>
                <c:pt idx="29">
                  <c:v>30-Mar-26</c:v>
                </c:pt>
                <c:pt idx="30">
                  <c:v>31-Mar-26</c:v>
                </c:pt>
                <c:pt idx="31">
                  <c:v>01-Apr-26</c:v>
                </c:pt>
                <c:pt idx="32">
                  <c:v>02-Apr-26</c:v>
                </c:pt>
                <c:pt idx="33">
                  <c:v>03-Apr-26</c:v>
                </c:pt>
                <c:pt idx="34">
                  <c:v>04-Apr-26</c:v>
                </c:pt>
                <c:pt idx="35">
                  <c:v>05-Apr-26</c:v>
                </c:pt>
                <c:pt idx="36">
                  <c:v>06-Apr-26</c:v>
                </c:pt>
                <c:pt idx="37">
                  <c:v>07-Apr-26</c:v>
                </c:pt>
                <c:pt idx="38">
                  <c:v>08-Apr-26</c:v>
                </c:pt>
                <c:pt idx="39">
                  <c:v>09-Apr-26</c:v>
                </c:pt>
                <c:pt idx="40">
                  <c:v>10-Apr-26</c:v>
                </c:pt>
                <c:pt idx="41">
                  <c:v>11-Apr-26</c:v>
                </c:pt>
                <c:pt idx="42">
                  <c:v>12-Apr-26</c:v>
                </c:pt>
                <c:pt idx="43">
                  <c:v>13-Apr-26</c:v>
                </c:pt>
                <c:pt idx="44">
                  <c:v>14-Apr-26</c:v>
                </c:pt>
                <c:pt idx="45">
                  <c:v>15-Apr-26</c:v>
                </c:pt>
                <c:pt idx="46">
                  <c:v>16-Apr-26</c:v>
                </c:pt>
                <c:pt idx="47">
                  <c:v>17-Apr-26</c:v>
                </c:pt>
                <c:pt idx="48">
                  <c:v>18-Apr-26</c:v>
                </c:pt>
                <c:pt idx="49">
                  <c:v>19-Apr-26</c:v>
                </c:pt>
                <c:pt idx="50">
                  <c:v>20-Apr-26</c:v>
                </c:pt>
                <c:pt idx="51">
                  <c:v>21-Apr-26</c:v>
                </c:pt>
                <c:pt idx="52">
                  <c:v>22-Apr-26</c:v>
                </c:pt>
                <c:pt idx="53">
                  <c:v>23-Apr-26</c:v>
                </c:pt>
                <c:pt idx="54">
                  <c:v>24-Apr-26</c:v>
                </c:pt>
                <c:pt idx="55">
                  <c:v>25-Apr-26</c:v>
                </c:pt>
                <c:pt idx="56">
                  <c:v>26-Apr-26</c:v>
                </c:pt>
                <c:pt idx="57">
                  <c:v>27-Apr-26</c:v>
                </c:pt>
                <c:pt idx="58">
                  <c:v>28-Apr-26</c:v>
                </c:pt>
                <c:pt idx="59">
                  <c:v>29-Apr-26</c:v>
                </c:pt>
                <c:pt idx="60">
                  <c:v>30-Apr-26</c:v>
                </c:pt>
                <c:pt idx="61">
                  <c:v>01-May-26</c:v>
                </c:pt>
                <c:pt idx="62">
                  <c:v>02-May-26</c:v>
                </c:pt>
                <c:pt idx="63">
                  <c:v>03-May-26</c:v>
                </c:pt>
                <c:pt idx="64">
                  <c:v>04-May-26</c:v>
                </c:pt>
                <c:pt idx="65">
                  <c:v>05-May-26</c:v>
                </c:pt>
                <c:pt idx="66">
                  <c:v>06-May-26</c:v>
                </c:pt>
                <c:pt idx="67">
                  <c:v>07-May-26</c:v>
                </c:pt>
                <c:pt idx="68">
                  <c:v>08-May-26</c:v>
                </c:pt>
                <c:pt idx="69">
                  <c:v>09-May-26</c:v>
                </c:pt>
                <c:pt idx="70">
                  <c:v>10-May-26</c:v>
                </c:pt>
                <c:pt idx="71">
                  <c:v>11-May-26</c:v>
                </c:pt>
                <c:pt idx="72">
                  <c:v>12-May-26</c:v>
                </c:pt>
                <c:pt idx="73">
                  <c:v>13-May-26</c:v>
                </c:pt>
                <c:pt idx="74">
                  <c:v>14-May-26</c:v>
                </c:pt>
                <c:pt idx="75">
                  <c:v>15-May-26</c:v>
                </c:pt>
                <c:pt idx="76">
                  <c:v>16-May-26</c:v>
                </c:pt>
                <c:pt idx="77">
                  <c:v>17-May-26</c:v>
                </c:pt>
                <c:pt idx="78">
                  <c:v>18-May-26</c:v>
                </c:pt>
                <c:pt idx="79">
                  <c:v>19-May-26</c:v>
                </c:pt>
                <c:pt idx="80">
                  <c:v>20-May-26</c:v>
                </c:pt>
                <c:pt idx="81">
                  <c:v>21-May-26</c:v>
                </c:pt>
                <c:pt idx="82">
                  <c:v>22-May-26</c:v>
                </c:pt>
                <c:pt idx="83">
                  <c:v>23-May-26</c:v>
                </c:pt>
                <c:pt idx="84">
                  <c:v>24-May-26</c:v>
                </c:pt>
                <c:pt idx="85">
                  <c:v>25-May-26</c:v>
                </c:pt>
                <c:pt idx="86">
                  <c:v>26-May-26</c:v>
                </c:pt>
                <c:pt idx="87">
                  <c:v>27-May-26</c:v>
                </c:pt>
                <c:pt idx="88">
                  <c:v>28-May-26</c:v>
                </c:pt>
                <c:pt idx="89">
                  <c:v>29-May-26</c:v>
                </c:pt>
                <c:pt idx="90">
                  <c:v>30-May-26</c:v>
                </c:pt>
                <c:pt idx="91">
                  <c:v>31-May-26</c:v>
                </c:pt>
              </c:strCache>
            </c:strRef>
          </c:cat>
          <c:val>
            <c:numRef>
              <c:f>'📅 Daily Trends'!$F$3:$F$94</c:f>
              <c:numCache>
                <c:formatCode>#,##0</c:formatCode>
                <c:ptCount val="92"/>
                <c:pt idx="0">
                  <c:v>237268</c:v>
                </c:pt>
                <c:pt idx="1">
                  <c:v>154376</c:v>
                </c:pt>
                <c:pt idx="2">
                  <c:v>261924</c:v>
                </c:pt>
                <c:pt idx="3">
                  <c:v>245364</c:v>
                </c:pt>
                <c:pt idx="4">
                  <c:v>155296</c:v>
                </c:pt>
                <c:pt idx="5">
                  <c:v>152812</c:v>
                </c:pt>
                <c:pt idx="6">
                  <c:v>176732</c:v>
                </c:pt>
                <c:pt idx="7">
                  <c:v>220800</c:v>
                </c:pt>
                <c:pt idx="8">
                  <c:v>127144</c:v>
                </c:pt>
                <c:pt idx="9">
                  <c:v>132664</c:v>
                </c:pt>
                <c:pt idx="10">
                  <c:v>84640</c:v>
                </c:pt>
                <c:pt idx="11">
                  <c:v>116196</c:v>
                </c:pt>
                <c:pt idx="12">
                  <c:v>86940</c:v>
                </c:pt>
                <c:pt idx="13">
                  <c:v>51704</c:v>
                </c:pt>
                <c:pt idx="14">
                  <c:v>176548</c:v>
                </c:pt>
                <c:pt idx="15">
                  <c:v>124752</c:v>
                </c:pt>
                <c:pt idx="16">
                  <c:v>57776</c:v>
                </c:pt>
                <c:pt idx="17">
                  <c:v>116288</c:v>
                </c:pt>
                <c:pt idx="18">
                  <c:v>216752</c:v>
                </c:pt>
                <c:pt idx="19">
                  <c:v>85376</c:v>
                </c:pt>
                <c:pt idx="20">
                  <c:v>139472</c:v>
                </c:pt>
                <c:pt idx="21">
                  <c:v>77924</c:v>
                </c:pt>
                <c:pt idx="22">
                  <c:v>195868</c:v>
                </c:pt>
                <c:pt idx="23">
                  <c:v>31188</c:v>
                </c:pt>
                <c:pt idx="24">
                  <c:v>267168</c:v>
                </c:pt>
                <c:pt idx="25">
                  <c:v>420900</c:v>
                </c:pt>
                <c:pt idx="26">
                  <c:v>299276</c:v>
                </c:pt>
                <c:pt idx="27">
                  <c:v>121992</c:v>
                </c:pt>
                <c:pt idx="28">
                  <c:v>244904</c:v>
                </c:pt>
                <c:pt idx="29">
                  <c:v>71392</c:v>
                </c:pt>
                <c:pt idx="30">
                  <c:v>265512</c:v>
                </c:pt>
                <c:pt idx="31">
                  <c:v>235152</c:v>
                </c:pt>
                <c:pt idx="32">
                  <c:v>375820</c:v>
                </c:pt>
                <c:pt idx="33">
                  <c:v>182712</c:v>
                </c:pt>
                <c:pt idx="34">
                  <c:v>155572</c:v>
                </c:pt>
                <c:pt idx="35">
                  <c:v>124200</c:v>
                </c:pt>
                <c:pt idx="36">
                  <c:v>94024</c:v>
                </c:pt>
                <c:pt idx="37">
                  <c:v>168636</c:v>
                </c:pt>
                <c:pt idx="38">
                  <c:v>207828</c:v>
                </c:pt>
                <c:pt idx="39">
                  <c:v>130824</c:v>
                </c:pt>
                <c:pt idx="40">
                  <c:v>161276</c:v>
                </c:pt>
                <c:pt idx="41">
                  <c:v>82524</c:v>
                </c:pt>
                <c:pt idx="42">
                  <c:v>159252</c:v>
                </c:pt>
                <c:pt idx="43">
                  <c:v>181792</c:v>
                </c:pt>
                <c:pt idx="44">
                  <c:v>231564</c:v>
                </c:pt>
                <c:pt idx="45">
                  <c:v>143520</c:v>
                </c:pt>
                <c:pt idx="46">
                  <c:v>156400</c:v>
                </c:pt>
                <c:pt idx="47">
                  <c:v>129352</c:v>
                </c:pt>
                <c:pt idx="48">
                  <c:v>85284</c:v>
                </c:pt>
                <c:pt idx="49">
                  <c:v>110584</c:v>
                </c:pt>
                <c:pt idx="50">
                  <c:v>205068</c:v>
                </c:pt>
                <c:pt idx="51">
                  <c:v>154100</c:v>
                </c:pt>
                <c:pt idx="52">
                  <c:v>105708</c:v>
                </c:pt>
                <c:pt idx="53">
                  <c:v>61088</c:v>
                </c:pt>
                <c:pt idx="54">
                  <c:v>111872</c:v>
                </c:pt>
                <c:pt idx="55">
                  <c:v>194580</c:v>
                </c:pt>
                <c:pt idx="56">
                  <c:v>130364</c:v>
                </c:pt>
                <c:pt idx="57">
                  <c:v>225676</c:v>
                </c:pt>
                <c:pt idx="58">
                  <c:v>111320</c:v>
                </c:pt>
                <c:pt idx="59">
                  <c:v>163576</c:v>
                </c:pt>
                <c:pt idx="60">
                  <c:v>143152</c:v>
                </c:pt>
                <c:pt idx="61">
                  <c:v>281520</c:v>
                </c:pt>
                <c:pt idx="62">
                  <c:v>121256</c:v>
                </c:pt>
                <c:pt idx="63">
                  <c:v>160080</c:v>
                </c:pt>
                <c:pt idx="64">
                  <c:v>52440</c:v>
                </c:pt>
                <c:pt idx="65">
                  <c:v>109572</c:v>
                </c:pt>
                <c:pt idx="66">
                  <c:v>63020</c:v>
                </c:pt>
                <c:pt idx="67">
                  <c:v>144348</c:v>
                </c:pt>
                <c:pt idx="68">
                  <c:v>169096</c:v>
                </c:pt>
                <c:pt idx="69">
                  <c:v>110584</c:v>
                </c:pt>
                <c:pt idx="70">
                  <c:v>123372</c:v>
                </c:pt>
                <c:pt idx="71">
                  <c:v>175536</c:v>
                </c:pt>
                <c:pt idx="72">
                  <c:v>201480</c:v>
                </c:pt>
                <c:pt idx="73">
                  <c:v>144532</c:v>
                </c:pt>
                <c:pt idx="74">
                  <c:v>243800</c:v>
                </c:pt>
                <c:pt idx="75">
                  <c:v>199548</c:v>
                </c:pt>
                <c:pt idx="76">
                  <c:v>94852</c:v>
                </c:pt>
                <c:pt idx="77">
                  <c:v>95220</c:v>
                </c:pt>
                <c:pt idx="78">
                  <c:v>172316</c:v>
                </c:pt>
                <c:pt idx="79">
                  <c:v>257784</c:v>
                </c:pt>
                <c:pt idx="80">
                  <c:v>213624</c:v>
                </c:pt>
                <c:pt idx="81">
                  <c:v>125488</c:v>
                </c:pt>
                <c:pt idx="82">
                  <c:v>145728</c:v>
                </c:pt>
                <c:pt idx="83">
                  <c:v>58972</c:v>
                </c:pt>
                <c:pt idx="84">
                  <c:v>348864</c:v>
                </c:pt>
                <c:pt idx="85">
                  <c:v>65320</c:v>
                </c:pt>
                <c:pt idx="86">
                  <c:v>145084</c:v>
                </c:pt>
                <c:pt idx="87">
                  <c:v>121440</c:v>
                </c:pt>
                <c:pt idx="88">
                  <c:v>433228</c:v>
                </c:pt>
                <c:pt idx="89">
                  <c:v>52440</c:v>
                </c:pt>
                <c:pt idx="90">
                  <c:v>140760</c:v>
                </c:pt>
                <c:pt idx="91">
                  <c:v>122820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049230"/>
        <c:axId val="90662975"/>
      </c:lineChart>
      <c:catAx>
        <c:axId val="38049230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62975"/>
        <c:crosses val="autoZero"/>
        <c:auto val="1"/>
        <c:lblAlgn val="ctr"/>
        <c:lblOffset val="100"/>
        <c:noMultiLvlLbl val="0"/>
      </c:catAx>
      <c:valAx>
        <c:axId val="90662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492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🎫 Daily Tickets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'📅 Daily Trends'!G2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f6c90e"/>
            </a:solidFill>
            <a:ln w="21960">
              <a:solidFill>
                <a:srgbClr val="f6c90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Daily Trends'!$B$3:$B$94</c:f>
              <c:strCache>
                <c:ptCount val="92"/>
                <c:pt idx="0">
                  <c:v>01-Mar-26</c:v>
                </c:pt>
                <c:pt idx="1">
                  <c:v>02-Mar-26</c:v>
                </c:pt>
                <c:pt idx="2">
                  <c:v>03-Mar-26</c:v>
                </c:pt>
                <c:pt idx="3">
                  <c:v>04-Mar-26</c:v>
                </c:pt>
                <c:pt idx="4">
                  <c:v>05-Mar-26</c:v>
                </c:pt>
                <c:pt idx="5">
                  <c:v>06-Mar-26</c:v>
                </c:pt>
                <c:pt idx="6">
                  <c:v>07-Mar-26</c:v>
                </c:pt>
                <c:pt idx="7">
                  <c:v>08-Mar-26</c:v>
                </c:pt>
                <c:pt idx="8">
                  <c:v>09-Mar-26</c:v>
                </c:pt>
                <c:pt idx="9">
                  <c:v>10-Mar-26</c:v>
                </c:pt>
                <c:pt idx="10">
                  <c:v>11-Mar-26</c:v>
                </c:pt>
                <c:pt idx="11">
                  <c:v>12-Mar-26</c:v>
                </c:pt>
                <c:pt idx="12">
                  <c:v>13-Mar-26</c:v>
                </c:pt>
                <c:pt idx="13">
                  <c:v>14-Mar-26</c:v>
                </c:pt>
                <c:pt idx="14">
                  <c:v>15-Mar-26</c:v>
                </c:pt>
                <c:pt idx="15">
                  <c:v>16-Mar-26</c:v>
                </c:pt>
                <c:pt idx="16">
                  <c:v>17-Mar-26</c:v>
                </c:pt>
                <c:pt idx="17">
                  <c:v>18-Mar-26</c:v>
                </c:pt>
                <c:pt idx="18">
                  <c:v>19-Mar-26</c:v>
                </c:pt>
                <c:pt idx="19">
                  <c:v>20-Mar-26</c:v>
                </c:pt>
                <c:pt idx="20">
                  <c:v>21-Mar-26</c:v>
                </c:pt>
                <c:pt idx="21">
                  <c:v>22-Mar-26</c:v>
                </c:pt>
                <c:pt idx="22">
                  <c:v>23-Mar-26</c:v>
                </c:pt>
                <c:pt idx="23">
                  <c:v>24-Mar-26</c:v>
                </c:pt>
                <c:pt idx="24">
                  <c:v>25-Mar-26</c:v>
                </c:pt>
                <c:pt idx="25">
                  <c:v>26-Mar-26</c:v>
                </c:pt>
                <c:pt idx="26">
                  <c:v>27-Mar-26</c:v>
                </c:pt>
                <c:pt idx="27">
                  <c:v>28-Mar-26</c:v>
                </c:pt>
                <c:pt idx="28">
                  <c:v>29-Mar-26</c:v>
                </c:pt>
                <c:pt idx="29">
                  <c:v>30-Mar-26</c:v>
                </c:pt>
                <c:pt idx="30">
                  <c:v>31-Mar-26</c:v>
                </c:pt>
                <c:pt idx="31">
                  <c:v>01-Apr-26</c:v>
                </c:pt>
                <c:pt idx="32">
                  <c:v>02-Apr-26</c:v>
                </c:pt>
                <c:pt idx="33">
                  <c:v>03-Apr-26</c:v>
                </c:pt>
                <c:pt idx="34">
                  <c:v>04-Apr-26</c:v>
                </c:pt>
                <c:pt idx="35">
                  <c:v>05-Apr-26</c:v>
                </c:pt>
                <c:pt idx="36">
                  <c:v>06-Apr-26</c:v>
                </c:pt>
                <c:pt idx="37">
                  <c:v>07-Apr-26</c:v>
                </c:pt>
                <c:pt idx="38">
                  <c:v>08-Apr-26</c:v>
                </c:pt>
                <c:pt idx="39">
                  <c:v>09-Apr-26</c:v>
                </c:pt>
                <c:pt idx="40">
                  <c:v>10-Apr-26</c:v>
                </c:pt>
                <c:pt idx="41">
                  <c:v>11-Apr-26</c:v>
                </c:pt>
                <c:pt idx="42">
                  <c:v>12-Apr-26</c:v>
                </c:pt>
                <c:pt idx="43">
                  <c:v>13-Apr-26</c:v>
                </c:pt>
                <c:pt idx="44">
                  <c:v>14-Apr-26</c:v>
                </c:pt>
                <c:pt idx="45">
                  <c:v>15-Apr-26</c:v>
                </c:pt>
                <c:pt idx="46">
                  <c:v>16-Apr-26</c:v>
                </c:pt>
                <c:pt idx="47">
                  <c:v>17-Apr-26</c:v>
                </c:pt>
                <c:pt idx="48">
                  <c:v>18-Apr-26</c:v>
                </c:pt>
                <c:pt idx="49">
                  <c:v>19-Apr-26</c:v>
                </c:pt>
                <c:pt idx="50">
                  <c:v>20-Apr-26</c:v>
                </c:pt>
                <c:pt idx="51">
                  <c:v>21-Apr-26</c:v>
                </c:pt>
                <c:pt idx="52">
                  <c:v>22-Apr-26</c:v>
                </c:pt>
                <c:pt idx="53">
                  <c:v>23-Apr-26</c:v>
                </c:pt>
                <c:pt idx="54">
                  <c:v>24-Apr-26</c:v>
                </c:pt>
                <c:pt idx="55">
                  <c:v>25-Apr-26</c:v>
                </c:pt>
                <c:pt idx="56">
                  <c:v>26-Apr-26</c:v>
                </c:pt>
                <c:pt idx="57">
                  <c:v>27-Apr-26</c:v>
                </c:pt>
                <c:pt idx="58">
                  <c:v>28-Apr-26</c:v>
                </c:pt>
                <c:pt idx="59">
                  <c:v>29-Apr-26</c:v>
                </c:pt>
                <c:pt idx="60">
                  <c:v>30-Apr-26</c:v>
                </c:pt>
                <c:pt idx="61">
                  <c:v>01-May-26</c:v>
                </c:pt>
                <c:pt idx="62">
                  <c:v>02-May-26</c:v>
                </c:pt>
                <c:pt idx="63">
                  <c:v>03-May-26</c:v>
                </c:pt>
                <c:pt idx="64">
                  <c:v>04-May-26</c:v>
                </c:pt>
                <c:pt idx="65">
                  <c:v>05-May-26</c:v>
                </c:pt>
                <c:pt idx="66">
                  <c:v>06-May-26</c:v>
                </c:pt>
                <c:pt idx="67">
                  <c:v>07-May-26</c:v>
                </c:pt>
                <c:pt idx="68">
                  <c:v>08-May-26</c:v>
                </c:pt>
                <c:pt idx="69">
                  <c:v>09-May-26</c:v>
                </c:pt>
                <c:pt idx="70">
                  <c:v>10-May-26</c:v>
                </c:pt>
                <c:pt idx="71">
                  <c:v>11-May-26</c:v>
                </c:pt>
                <c:pt idx="72">
                  <c:v>12-May-26</c:v>
                </c:pt>
                <c:pt idx="73">
                  <c:v>13-May-26</c:v>
                </c:pt>
                <c:pt idx="74">
                  <c:v>14-May-26</c:v>
                </c:pt>
                <c:pt idx="75">
                  <c:v>15-May-26</c:v>
                </c:pt>
                <c:pt idx="76">
                  <c:v>16-May-26</c:v>
                </c:pt>
                <c:pt idx="77">
                  <c:v>17-May-26</c:v>
                </c:pt>
                <c:pt idx="78">
                  <c:v>18-May-26</c:v>
                </c:pt>
                <c:pt idx="79">
                  <c:v>19-May-26</c:v>
                </c:pt>
                <c:pt idx="80">
                  <c:v>20-May-26</c:v>
                </c:pt>
                <c:pt idx="81">
                  <c:v>21-May-26</c:v>
                </c:pt>
                <c:pt idx="82">
                  <c:v>22-May-26</c:v>
                </c:pt>
                <c:pt idx="83">
                  <c:v>23-May-26</c:v>
                </c:pt>
                <c:pt idx="84">
                  <c:v>24-May-26</c:v>
                </c:pt>
                <c:pt idx="85">
                  <c:v>25-May-26</c:v>
                </c:pt>
                <c:pt idx="86">
                  <c:v>26-May-26</c:v>
                </c:pt>
                <c:pt idx="87">
                  <c:v>27-May-26</c:v>
                </c:pt>
                <c:pt idx="88">
                  <c:v>28-May-26</c:v>
                </c:pt>
                <c:pt idx="89">
                  <c:v>29-May-26</c:v>
                </c:pt>
                <c:pt idx="90">
                  <c:v>30-May-26</c:v>
                </c:pt>
                <c:pt idx="91">
                  <c:v>31-May-26</c:v>
                </c:pt>
              </c:strCache>
            </c:strRef>
          </c:cat>
          <c:val>
            <c:numRef>
              <c:f>'📅 Daily Trends'!$G$3:$G$94</c:f>
              <c:numCache>
                <c:formatCode>#,##0</c:formatCode>
                <c:ptCount val="92"/>
                <c:pt idx="0">
                  <c:v>5796</c:v>
                </c:pt>
                <c:pt idx="1">
                  <c:v>5704</c:v>
                </c:pt>
                <c:pt idx="2">
                  <c:v>4048</c:v>
                </c:pt>
                <c:pt idx="3">
                  <c:v>6164</c:v>
                </c:pt>
                <c:pt idx="4">
                  <c:v>4876</c:v>
                </c:pt>
                <c:pt idx="5">
                  <c:v>5060</c:v>
                </c:pt>
                <c:pt idx="6">
                  <c:v>6624</c:v>
                </c:pt>
                <c:pt idx="7">
                  <c:v>5612</c:v>
                </c:pt>
                <c:pt idx="8">
                  <c:v>8004</c:v>
                </c:pt>
                <c:pt idx="9">
                  <c:v>3772</c:v>
                </c:pt>
                <c:pt idx="10">
                  <c:v>7452</c:v>
                </c:pt>
                <c:pt idx="11">
                  <c:v>6716</c:v>
                </c:pt>
                <c:pt idx="12">
                  <c:v>2852</c:v>
                </c:pt>
                <c:pt idx="13">
                  <c:v>5060</c:v>
                </c:pt>
                <c:pt idx="14">
                  <c:v>4876</c:v>
                </c:pt>
                <c:pt idx="15">
                  <c:v>2944</c:v>
                </c:pt>
                <c:pt idx="16">
                  <c:v>5152</c:v>
                </c:pt>
                <c:pt idx="17">
                  <c:v>4232</c:v>
                </c:pt>
                <c:pt idx="18">
                  <c:v>5336</c:v>
                </c:pt>
                <c:pt idx="19">
                  <c:v>4508</c:v>
                </c:pt>
                <c:pt idx="20">
                  <c:v>5336</c:v>
                </c:pt>
                <c:pt idx="21">
                  <c:v>4140</c:v>
                </c:pt>
                <c:pt idx="22">
                  <c:v>7176</c:v>
                </c:pt>
                <c:pt idx="23">
                  <c:v>6164</c:v>
                </c:pt>
                <c:pt idx="24">
                  <c:v>7176</c:v>
                </c:pt>
                <c:pt idx="25">
                  <c:v>10396</c:v>
                </c:pt>
                <c:pt idx="26">
                  <c:v>6624</c:v>
                </c:pt>
                <c:pt idx="27">
                  <c:v>5428</c:v>
                </c:pt>
                <c:pt idx="28">
                  <c:v>9476</c:v>
                </c:pt>
                <c:pt idx="29">
                  <c:v>5980</c:v>
                </c:pt>
                <c:pt idx="30">
                  <c:v>4600</c:v>
                </c:pt>
                <c:pt idx="31">
                  <c:v>3312</c:v>
                </c:pt>
                <c:pt idx="32">
                  <c:v>7728</c:v>
                </c:pt>
                <c:pt idx="33">
                  <c:v>5428</c:v>
                </c:pt>
                <c:pt idx="34">
                  <c:v>8004</c:v>
                </c:pt>
                <c:pt idx="35">
                  <c:v>3772</c:v>
                </c:pt>
                <c:pt idx="36">
                  <c:v>5152</c:v>
                </c:pt>
                <c:pt idx="37">
                  <c:v>6532</c:v>
                </c:pt>
                <c:pt idx="38">
                  <c:v>7452</c:v>
                </c:pt>
                <c:pt idx="39">
                  <c:v>3680</c:v>
                </c:pt>
                <c:pt idx="40">
                  <c:v>8464</c:v>
                </c:pt>
                <c:pt idx="41">
                  <c:v>3772</c:v>
                </c:pt>
                <c:pt idx="42">
                  <c:v>8372</c:v>
                </c:pt>
                <c:pt idx="43">
                  <c:v>6992</c:v>
                </c:pt>
                <c:pt idx="44">
                  <c:v>6532</c:v>
                </c:pt>
                <c:pt idx="45">
                  <c:v>6348</c:v>
                </c:pt>
                <c:pt idx="46">
                  <c:v>2760</c:v>
                </c:pt>
                <c:pt idx="47">
                  <c:v>5244</c:v>
                </c:pt>
                <c:pt idx="48">
                  <c:v>8832</c:v>
                </c:pt>
                <c:pt idx="49">
                  <c:v>7084</c:v>
                </c:pt>
                <c:pt idx="50">
                  <c:v>5888</c:v>
                </c:pt>
                <c:pt idx="51">
                  <c:v>5520</c:v>
                </c:pt>
                <c:pt idx="52">
                  <c:v>2944</c:v>
                </c:pt>
                <c:pt idx="53">
                  <c:v>2852</c:v>
                </c:pt>
                <c:pt idx="54">
                  <c:v>6532</c:v>
                </c:pt>
                <c:pt idx="55">
                  <c:v>7820</c:v>
                </c:pt>
                <c:pt idx="56">
                  <c:v>4600</c:v>
                </c:pt>
                <c:pt idx="57">
                  <c:v>4324</c:v>
                </c:pt>
                <c:pt idx="58">
                  <c:v>10028</c:v>
                </c:pt>
                <c:pt idx="59">
                  <c:v>3220</c:v>
                </c:pt>
                <c:pt idx="60">
                  <c:v>5428</c:v>
                </c:pt>
                <c:pt idx="61">
                  <c:v>6808</c:v>
                </c:pt>
                <c:pt idx="62">
                  <c:v>4784</c:v>
                </c:pt>
                <c:pt idx="63">
                  <c:v>4416</c:v>
                </c:pt>
                <c:pt idx="64">
                  <c:v>4508</c:v>
                </c:pt>
                <c:pt idx="65">
                  <c:v>3404</c:v>
                </c:pt>
                <c:pt idx="66">
                  <c:v>4784</c:v>
                </c:pt>
                <c:pt idx="67">
                  <c:v>5796</c:v>
                </c:pt>
                <c:pt idx="68">
                  <c:v>6808</c:v>
                </c:pt>
                <c:pt idx="69">
                  <c:v>3404</c:v>
                </c:pt>
                <c:pt idx="70">
                  <c:v>5888</c:v>
                </c:pt>
                <c:pt idx="71">
                  <c:v>6716</c:v>
                </c:pt>
                <c:pt idx="72">
                  <c:v>6440</c:v>
                </c:pt>
                <c:pt idx="73">
                  <c:v>7912</c:v>
                </c:pt>
                <c:pt idx="74">
                  <c:v>6624</c:v>
                </c:pt>
                <c:pt idx="75">
                  <c:v>4876</c:v>
                </c:pt>
                <c:pt idx="76">
                  <c:v>6532</c:v>
                </c:pt>
                <c:pt idx="77">
                  <c:v>6440</c:v>
                </c:pt>
                <c:pt idx="78">
                  <c:v>7084</c:v>
                </c:pt>
                <c:pt idx="79">
                  <c:v>7084</c:v>
                </c:pt>
                <c:pt idx="80">
                  <c:v>5060</c:v>
                </c:pt>
                <c:pt idx="81">
                  <c:v>3128</c:v>
                </c:pt>
                <c:pt idx="82">
                  <c:v>3680</c:v>
                </c:pt>
                <c:pt idx="83">
                  <c:v>6624</c:v>
                </c:pt>
                <c:pt idx="84">
                  <c:v>7544</c:v>
                </c:pt>
                <c:pt idx="85">
                  <c:v>5244</c:v>
                </c:pt>
                <c:pt idx="86">
                  <c:v>828</c:v>
                </c:pt>
                <c:pt idx="87">
                  <c:v>2852</c:v>
                </c:pt>
                <c:pt idx="88">
                  <c:v>6072</c:v>
                </c:pt>
                <c:pt idx="89">
                  <c:v>3680</c:v>
                </c:pt>
                <c:pt idx="90">
                  <c:v>4876</c:v>
                </c:pt>
                <c:pt idx="91">
                  <c:v>6808</c:v>
                </c:pt>
              </c:numCache>
            </c:numRef>
          </c:val>
        </c:ser>
        <c:gapWidth val="150"/>
        <c:overlap val="0"/>
        <c:axId val="73914672"/>
        <c:axId val="78120397"/>
      </c:barChart>
      <c:catAx>
        <c:axId val="73914672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20397"/>
        <c:crosses val="autoZero"/>
        <c:auto val="1"/>
        <c:lblAlgn val="ctr"/>
        <c:lblOffset val="100"/>
        <c:noMultiLvlLbl val="0"/>
      </c:catAx>
      <c:valAx>
        <c:axId val="78120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14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25</xdr:col>
      <xdr:colOff>294840</xdr:colOff>
      <xdr:row>23</xdr:row>
      <xdr:rowOff>126000</xdr:rowOff>
    </xdr:to>
    <xdr:graphicFrame>
      <xdr:nvGraphicFramePr>
        <xdr:cNvPr id="0" name="Chart 1"/>
        <xdr:cNvGraphicFramePr/>
      </xdr:nvGraphicFramePr>
      <xdr:xfrm>
        <a:off x="6532200" y="457200"/>
        <a:ext cx="1007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25</xdr:col>
      <xdr:colOff>294840</xdr:colOff>
      <xdr:row>50</xdr:row>
      <xdr:rowOff>78480</xdr:rowOff>
    </xdr:to>
    <xdr:graphicFrame>
      <xdr:nvGraphicFramePr>
        <xdr:cNvPr id="1" name="Chart 2"/>
        <xdr:cNvGraphicFramePr/>
      </xdr:nvGraphicFramePr>
      <xdr:xfrm>
        <a:off x="6532200" y="5810400"/>
        <a:ext cx="1007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53</xdr:row>
      <xdr:rowOff>0</xdr:rowOff>
    </xdr:from>
    <xdr:to>
      <xdr:col>25</xdr:col>
      <xdr:colOff>294840</xdr:colOff>
      <xdr:row>76</xdr:row>
      <xdr:rowOff>78480</xdr:rowOff>
    </xdr:to>
    <xdr:graphicFrame>
      <xdr:nvGraphicFramePr>
        <xdr:cNvPr id="2" name="Chart 3"/>
        <xdr:cNvGraphicFramePr/>
      </xdr:nvGraphicFramePr>
      <xdr:xfrm>
        <a:off x="6532200" y="11010960"/>
        <a:ext cx="1007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79</xdr:row>
      <xdr:rowOff>0</xdr:rowOff>
    </xdr:from>
    <xdr:to>
      <xdr:col>25</xdr:col>
      <xdr:colOff>294840</xdr:colOff>
      <xdr:row>102</xdr:row>
      <xdr:rowOff>154440</xdr:rowOff>
    </xdr:to>
    <xdr:graphicFrame>
      <xdr:nvGraphicFramePr>
        <xdr:cNvPr id="3" name="Chart 4"/>
        <xdr:cNvGraphicFramePr/>
      </xdr:nvGraphicFramePr>
      <xdr:xfrm>
        <a:off x="6532200" y="16211520"/>
        <a:ext cx="1007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D56"/>
    <pageSetUpPr fitToPage="false"/>
  </sheetPr>
  <dimension ref="A1:K5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1" min="10" style="1" width="14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.75" hidden="false" customHeight="true" outlineLevel="0" collapsed="false">
      <c r="A2" s="3" t="n">
        <v>46082</v>
      </c>
      <c r="B2" s="4" t="str">
        <f aca="false">TEXT(A2,"MMM YYYY")</f>
        <v>Mar 2026</v>
      </c>
      <c r="C2" s="5" t="s">
        <v>11</v>
      </c>
      <c r="D2" s="5" t="s">
        <v>12</v>
      </c>
      <c r="E2" s="5" t="s">
        <v>13</v>
      </c>
      <c r="F2" s="6" t="n">
        <v>460</v>
      </c>
      <c r="G2" s="6" t="n">
        <v>25</v>
      </c>
      <c r="H2" s="6" t="n">
        <v>1380</v>
      </c>
      <c r="I2" s="6" t="n">
        <v>64308</v>
      </c>
      <c r="J2" s="6" t="n">
        <v>40</v>
      </c>
      <c r="K2" s="6" t="n">
        <v>11500</v>
      </c>
    </row>
    <row r="3" customFormat="false" ht="15.75" hidden="false" customHeight="true" outlineLevel="0" collapsed="false">
      <c r="A3" s="7" t="n">
        <v>46082</v>
      </c>
      <c r="B3" s="8" t="str">
        <f aca="false">TEXT(A3,"MMM YYYY")</f>
        <v>Mar 2026</v>
      </c>
      <c r="C3" s="9" t="s">
        <v>14</v>
      </c>
      <c r="D3" s="9" t="s">
        <v>15</v>
      </c>
      <c r="E3" s="9" t="s">
        <v>16</v>
      </c>
      <c r="F3" s="10" t="n">
        <v>1472</v>
      </c>
      <c r="G3" s="10" t="n">
        <v>75</v>
      </c>
      <c r="H3" s="10" t="n">
        <v>1472</v>
      </c>
      <c r="I3" s="10" t="n">
        <v>59616</v>
      </c>
      <c r="J3" s="10" t="n">
        <v>74</v>
      </c>
      <c r="K3" s="10" t="n">
        <v>110400</v>
      </c>
    </row>
    <row r="4" customFormat="false" ht="15.75" hidden="false" customHeight="true" outlineLevel="0" collapsed="false">
      <c r="A4" s="3" t="n">
        <v>46082</v>
      </c>
      <c r="B4" s="4" t="str">
        <f aca="false">TEXT(A4,"MMM YYYY")</f>
        <v>Mar 2026</v>
      </c>
      <c r="C4" s="5" t="s">
        <v>17</v>
      </c>
      <c r="D4" s="5" t="s">
        <v>18</v>
      </c>
      <c r="E4" s="5" t="s">
        <v>16</v>
      </c>
      <c r="F4" s="6" t="n">
        <v>460</v>
      </c>
      <c r="G4" s="6" t="n">
        <v>75</v>
      </c>
      <c r="H4" s="6" t="n">
        <v>828</v>
      </c>
      <c r="I4" s="6" t="n">
        <v>19872</v>
      </c>
      <c r="J4" s="6" t="n">
        <v>71</v>
      </c>
      <c r="K4" s="6" t="n">
        <v>34500</v>
      </c>
    </row>
    <row r="5" customFormat="false" ht="15.75" hidden="false" customHeight="true" outlineLevel="0" collapsed="false">
      <c r="A5" s="7" t="n">
        <v>46082</v>
      </c>
      <c r="B5" s="8" t="str">
        <f aca="false">TEXT(A5,"MMM YYYY")</f>
        <v>Mar 2026</v>
      </c>
      <c r="C5" s="9" t="s">
        <v>17</v>
      </c>
      <c r="D5" s="9" t="s">
        <v>19</v>
      </c>
      <c r="E5" s="9" t="s">
        <v>20</v>
      </c>
      <c r="F5" s="10" t="n">
        <v>1840</v>
      </c>
      <c r="G5" s="10" t="n">
        <v>100</v>
      </c>
      <c r="H5" s="10" t="n">
        <v>1104</v>
      </c>
      <c r="I5" s="10" t="n">
        <v>29164</v>
      </c>
      <c r="J5" s="10" t="n">
        <v>21</v>
      </c>
      <c r="K5" s="10" t="n">
        <v>184000</v>
      </c>
    </row>
    <row r="6" customFormat="false" ht="15.75" hidden="false" customHeight="true" outlineLevel="0" collapsed="false">
      <c r="A6" s="3" t="n">
        <v>46082</v>
      </c>
      <c r="B6" s="4" t="str">
        <f aca="false">TEXT(A6,"MMM YYYY")</f>
        <v>Mar 2026</v>
      </c>
      <c r="C6" s="5" t="s">
        <v>17</v>
      </c>
      <c r="D6" s="5" t="s">
        <v>12</v>
      </c>
      <c r="E6" s="5" t="s">
        <v>13</v>
      </c>
      <c r="F6" s="6" t="n">
        <v>1564</v>
      </c>
      <c r="G6" s="6" t="n">
        <v>75</v>
      </c>
      <c r="H6" s="6" t="n">
        <v>1380</v>
      </c>
      <c r="I6" s="6" t="n">
        <v>64308</v>
      </c>
      <c r="J6" s="6" t="n">
        <v>40</v>
      </c>
      <c r="K6" s="6" t="n">
        <v>117300</v>
      </c>
    </row>
    <row r="7" customFormat="false" ht="15.75" hidden="false" customHeight="true" outlineLevel="0" collapsed="false">
      <c r="A7" s="7" t="n">
        <v>46083</v>
      </c>
      <c r="B7" s="8" t="str">
        <f aca="false">TEXT(A7,"MMM YYYY")</f>
        <v>Mar 2026</v>
      </c>
      <c r="C7" s="9" t="s">
        <v>11</v>
      </c>
      <c r="D7" s="9" t="s">
        <v>18</v>
      </c>
      <c r="E7" s="9" t="s">
        <v>20</v>
      </c>
      <c r="F7" s="10" t="n">
        <v>1288</v>
      </c>
      <c r="G7" s="10" t="n">
        <v>50</v>
      </c>
      <c r="H7" s="10" t="n">
        <v>460</v>
      </c>
      <c r="I7" s="10" t="n">
        <v>4876</v>
      </c>
      <c r="J7" s="10" t="n">
        <v>75</v>
      </c>
      <c r="K7" s="10" t="n">
        <v>64400</v>
      </c>
    </row>
    <row r="8" customFormat="false" ht="15.75" hidden="false" customHeight="true" outlineLevel="0" collapsed="false">
      <c r="A8" s="3" t="n">
        <v>46083</v>
      </c>
      <c r="B8" s="4" t="str">
        <f aca="false">TEXT(A8,"MMM YYYY")</f>
        <v>Mar 2026</v>
      </c>
      <c r="C8" s="5" t="s">
        <v>11</v>
      </c>
      <c r="D8" s="5" t="s">
        <v>19</v>
      </c>
      <c r="E8" s="5" t="s">
        <v>13</v>
      </c>
      <c r="F8" s="6" t="n">
        <v>736</v>
      </c>
      <c r="G8" s="6" t="n">
        <v>50</v>
      </c>
      <c r="H8" s="6" t="n">
        <v>1288</v>
      </c>
      <c r="I8" s="6" t="n">
        <v>30176</v>
      </c>
      <c r="J8" s="6" t="n">
        <v>32</v>
      </c>
      <c r="K8" s="6" t="n">
        <v>36800</v>
      </c>
    </row>
    <row r="9" customFormat="false" ht="15.75" hidden="false" customHeight="true" outlineLevel="0" collapsed="false">
      <c r="A9" s="7" t="n">
        <v>46083</v>
      </c>
      <c r="B9" s="8" t="str">
        <f aca="false">TEXT(A9,"MMM YYYY")</f>
        <v>Mar 2026</v>
      </c>
      <c r="C9" s="9" t="s">
        <v>11</v>
      </c>
      <c r="D9" s="9" t="s">
        <v>15</v>
      </c>
      <c r="E9" s="9" t="s">
        <v>20</v>
      </c>
      <c r="F9" s="10" t="n">
        <v>92</v>
      </c>
      <c r="G9" s="10" t="n">
        <v>50</v>
      </c>
      <c r="H9" s="10" t="n">
        <v>1288</v>
      </c>
      <c r="I9" s="10" t="n">
        <v>23644</v>
      </c>
      <c r="J9" s="10" t="n">
        <v>55</v>
      </c>
      <c r="K9" s="10" t="n">
        <v>4600</v>
      </c>
    </row>
    <row r="10" customFormat="false" ht="15.75" hidden="false" customHeight="true" outlineLevel="0" collapsed="false">
      <c r="A10" s="3" t="n">
        <v>46083</v>
      </c>
      <c r="B10" s="4" t="str">
        <f aca="false">TEXT(A10,"MMM YYYY")</f>
        <v>Mar 2026</v>
      </c>
      <c r="C10" s="5" t="s">
        <v>14</v>
      </c>
      <c r="D10" s="5" t="s">
        <v>19</v>
      </c>
      <c r="E10" s="5" t="s">
        <v>16</v>
      </c>
      <c r="F10" s="6" t="n">
        <v>736</v>
      </c>
      <c r="G10" s="6" t="n">
        <v>50</v>
      </c>
      <c r="H10" s="6" t="n">
        <v>1288</v>
      </c>
      <c r="I10" s="6" t="n">
        <v>30176</v>
      </c>
      <c r="J10" s="6" t="n">
        <v>32</v>
      </c>
      <c r="K10" s="6" t="n">
        <v>36800</v>
      </c>
    </row>
    <row r="11" customFormat="false" ht="15.75" hidden="false" customHeight="true" outlineLevel="0" collapsed="false">
      <c r="A11" s="7" t="n">
        <v>46083</v>
      </c>
      <c r="B11" s="8" t="str">
        <f aca="false">TEXT(A11,"MMM YYYY")</f>
        <v>Mar 2026</v>
      </c>
      <c r="C11" s="9" t="s">
        <v>17</v>
      </c>
      <c r="D11" s="9" t="s">
        <v>18</v>
      </c>
      <c r="E11" s="9" t="s">
        <v>13</v>
      </c>
      <c r="F11" s="10" t="n">
        <v>1288</v>
      </c>
      <c r="G11" s="10" t="n">
        <v>75</v>
      </c>
      <c r="H11" s="10" t="n">
        <v>460</v>
      </c>
      <c r="I11" s="10" t="n">
        <v>4876</v>
      </c>
      <c r="J11" s="10" t="n">
        <v>75</v>
      </c>
      <c r="K11" s="10" t="n">
        <v>96600</v>
      </c>
    </row>
    <row r="12" customFormat="false" ht="15.75" hidden="false" customHeight="true" outlineLevel="0" collapsed="false">
      <c r="A12" s="3" t="n">
        <v>46083</v>
      </c>
      <c r="B12" s="4" t="str">
        <f aca="false">TEXT(A12,"MMM YYYY")</f>
        <v>Mar 2026</v>
      </c>
      <c r="C12" s="5" t="s">
        <v>17</v>
      </c>
      <c r="D12" s="5" t="s">
        <v>21</v>
      </c>
      <c r="E12" s="5" t="s">
        <v>13</v>
      </c>
      <c r="F12" s="6" t="n">
        <v>736</v>
      </c>
      <c r="G12" s="6" t="n">
        <v>75</v>
      </c>
      <c r="H12" s="6" t="n">
        <v>1288</v>
      </c>
      <c r="I12" s="6" t="n">
        <v>36984</v>
      </c>
      <c r="J12" s="6" t="n">
        <v>39</v>
      </c>
      <c r="K12" s="6" t="n">
        <v>55200</v>
      </c>
    </row>
    <row r="13" customFormat="false" ht="15.75" hidden="false" customHeight="true" outlineLevel="0" collapsed="false">
      <c r="A13" s="7" t="n">
        <v>46083</v>
      </c>
      <c r="B13" s="8" t="str">
        <f aca="false">TEXT(A13,"MMM YYYY")</f>
        <v>Mar 2026</v>
      </c>
      <c r="C13" s="9" t="s">
        <v>17</v>
      </c>
      <c r="D13" s="9" t="s">
        <v>15</v>
      </c>
      <c r="E13" s="9" t="s">
        <v>13</v>
      </c>
      <c r="F13" s="10" t="n">
        <v>828</v>
      </c>
      <c r="G13" s="10" t="n">
        <v>50</v>
      </c>
      <c r="H13" s="10" t="n">
        <v>1288</v>
      </c>
      <c r="I13" s="10" t="n">
        <v>23644</v>
      </c>
      <c r="J13" s="10" t="n">
        <v>55</v>
      </c>
      <c r="K13" s="10" t="n">
        <v>41400</v>
      </c>
    </row>
    <row r="14" customFormat="false" ht="15.75" hidden="false" customHeight="true" outlineLevel="0" collapsed="false">
      <c r="A14" s="3" t="n">
        <v>46084</v>
      </c>
      <c r="B14" s="4" t="str">
        <f aca="false">TEXT(A14,"MMM YYYY")</f>
        <v>Mar 2026</v>
      </c>
      <c r="C14" s="5" t="s">
        <v>11</v>
      </c>
      <c r="D14" s="5" t="s">
        <v>12</v>
      </c>
      <c r="E14" s="5" t="s">
        <v>13</v>
      </c>
      <c r="F14" s="6" t="n">
        <v>92</v>
      </c>
      <c r="G14" s="6" t="n">
        <v>100</v>
      </c>
      <c r="H14" s="6" t="n">
        <v>1380</v>
      </c>
      <c r="I14" s="6" t="n">
        <v>72680</v>
      </c>
      <c r="J14" s="6" t="n">
        <v>53</v>
      </c>
      <c r="K14" s="6" t="n">
        <v>9200</v>
      </c>
    </row>
    <row r="15" customFormat="false" ht="15.75" hidden="false" customHeight="true" outlineLevel="0" collapsed="false">
      <c r="A15" s="7" t="n">
        <v>46084</v>
      </c>
      <c r="B15" s="8" t="str">
        <f aca="false">TEXT(A15,"MMM YYYY")</f>
        <v>Mar 2026</v>
      </c>
      <c r="C15" s="9" t="s">
        <v>11</v>
      </c>
      <c r="D15" s="9" t="s">
        <v>15</v>
      </c>
      <c r="E15" s="9" t="s">
        <v>20</v>
      </c>
      <c r="F15" s="10" t="n">
        <v>1012</v>
      </c>
      <c r="G15" s="10" t="n">
        <v>75</v>
      </c>
      <c r="H15" s="10" t="n">
        <v>1472</v>
      </c>
      <c r="I15" s="10" t="n">
        <v>20700</v>
      </c>
      <c r="J15" s="10" t="n">
        <v>65</v>
      </c>
      <c r="K15" s="10" t="n">
        <v>75900</v>
      </c>
    </row>
    <row r="16" customFormat="false" ht="15.75" hidden="false" customHeight="true" outlineLevel="0" collapsed="false">
      <c r="A16" s="3" t="n">
        <v>46084</v>
      </c>
      <c r="B16" s="4" t="str">
        <f aca="false">TEXT(A16,"MMM YYYY")</f>
        <v>Mar 2026</v>
      </c>
      <c r="C16" s="5" t="s">
        <v>14</v>
      </c>
      <c r="D16" s="5" t="s">
        <v>21</v>
      </c>
      <c r="E16" s="5" t="s">
        <v>13</v>
      </c>
      <c r="F16" s="6" t="n">
        <v>184</v>
      </c>
      <c r="G16" s="6" t="n">
        <v>25</v>
      </c>
      <c r="H16" s="6" t="n">
        <v>644</v>
      </c>
      <c r="I16" s="6" t="n">
        <v>11592</v>
      </c>
      <c r="J16" s="6" t="n">
        <v>28</v>
      </c>
      <c r="K16" s="6" t="n">
        <v>4600</v>
      </c>
    </row>
    <row r="17" customFormat="false" ht="15.75" hidden="false" customHeight="true" outlineLevel="0" collapsed="false">
      <c r="A17" s="7" t="n">
        <v>46084</v>
      </c>
      <c r="B17" s="8" t="str">
        <f aca="false">TEXT(A17,"MMM YYYY")</f>
        <v>Mar 2026</v>
      </c>
      <c r="C17" s="9" t="s">
        <v>14</v>
      </c>
      <c r="D17" s="9" t="s">
        <v>12</v>
      </c>
      <c r="E17" s="9" t="s">
        <v>16</v>
      </c>
      <c r="F17" s="10" t="n">
        <v>1748</v>
      </c>
      <c r="G17" s="10" t="n">
        <v>100</v>
      </c>
      <c r="H17" s="10" t="n">
        <v>1380</v>
      </c>
      <c r="I17" s="10" t="n">
        <v>72680</v>
      </c>
      <c r="J17" s="10" t="n">
        <v>53</v>
      </c>
      <c r="K17" s="10" t="n">
        <v>174800</v>
      </c>
    </row>
    <row r="18" customFormat="false" ht="15.75" hidden="false" customHeight="true" outlineLevel="0" collapsed="false">
      <c r="A18" s="3" t="n">
        <v>46084</v>
      </c>
      <c r="B18" s="4" t="str">
        <f aca="false">TEXT(A18,"MMM YYYY")</f>
        <v>Mar 2026</v>
      </c>
      <c r="C18" s="5" t="s">
        <v>17</v>
      </c>
      <c r="D18" s="5" t="s">
        <v>21</v>
      </c>
      <c r="E18" s="5" t="s">
        <v>16</v>
      </c>
      <c r="F18" s="6" t="n">
        <v>552</v>
      </c>
      <c r="G18" s="6" t="n">
        <v>75</v>
      </c>
      <c r="H18" s="6" t="n">
        <v>644</v>
      </c>
      <c r="I18" s="6" t="n">
        <v>11592</v>
      </c>
      <c r="J18" s="6" t="n">
        <v>28</v>
      </c>
      <c r="K18" s="6" t="n">
        <v>41400</v>
      </c>
    </row>
    <row r="19" customFormat="false" ht="15.75" hidden="false" customHeight="true" outlineLevel="0" collapsed="false">
      <c r="A19" s="7" t="n">
        <v>46084</v>
      </c>
      <c r="B19" s="8" t="str">
        <f aca="false">TEXT(A19,"MMM YYYY")</f>
        <v>Mar 2026</v>
      </c>
      <c r="C19" s="9" t="s">
        <v>17</v>
      </c>
      <c r="D19" s="9" t="s">
        <v>12</v>
      </c>
      <c r="E19" s="9" t="s">
        <v>13</v>
      </c>
      <c r="F19" s="10" t="n">
        <v>460</v>
      </c>
      <c r="G19" s="10" t="n">
        <v>75</v>
      </c>
      <c r="H19" s="10" t="n">
        <v>1380</v>
      </c>
      <c r="I19" s="10" t="n">
        <v>72680</v>
      </c>
      <c r="J19" s="10" t="n">
        <v>53</v>
      </c>
      <c r="K19" s="10" t="n">
        <v>34500</v>
      </c>
    </row>
    <row r="20" customFormat="false" ht="15.75" hidden="false" customHeight="true" outlineLevel="0" collapsed="false">
      <c r="A20" s="3" t="n">
        <v>46085</v>
      </c>
      <c r="B20" s="4" t="str">
        <f aca="false">TEXT(A20,"MMM YYYY")</f>
        <v>Mar 2026</v>
      </c>
      <c r="C20" s="5" t="s">
        <v>11</v>
      </c>
      <c r="D20" s="5" t="s">
        <v>12</v>
      </c>
      <c r="E20" s="5" t="s">
        <v>20</v>
      </c>
      <c r="F20" s="6" t="n">
        <v>1288</v>
      </c>
      <c r="G20" s="6" t="n">
        <v>75</v>
      </c>
      <c r="H20" s="6" t="n">
        <v>1380</v>
      </c>
      <c r="I20" s="6" t="n">
        <v>7268</v>
      </c>
      <c r="J20" s="6" t="n">
        <v>57</v>
      </c>
      <c r="K20" s="6" t="n">
        <v>96600</v>
      </c>
    </row>
    <row r="21" customFormat="false" ht="15.75" hidden="false" customHeight="true" outlineLevel="0" collapsed="false">
      <c r="A21" s="7" t="n">
        <v>46085</v>
      </c>
      <c r="B21" s="8" t="str">
        <f aca="false">TEXT(A21,"MMM YYYY")</f>
        <v>Mar 2026</v>
      </c>
      <c r="C21" s="9" t="s">
        <v>14</v>
      </c>
      <c r="D21" s="9" t="s">
        <v>18</v>
      </c>
      <c r="E21" s="9" t="s">
        <v>20</v>
      </c>
      <c r="F21" s="10" t="n">
        <v>920</v>
      </c>
      <c r="G21" s="10" t="n">
        <v>25</v>
      </c>
      <c r="H21" s="10" t="n">
        <v>1380</v>
      </c>
      <c r="I21" s="10" t="n">
        <v>74520</v>
      </c>
      <c r="J21" s="10" t="n">
        <v>77</v>
      </c>
      <c r="K21" s="10" t="n">
        <v>23000</v>
      </c>
    </row>
    <row r="22" customFormat="false" ht="15.75" hidden="false" customHeight="true" outlineLevel="0" collapsed="false">
      <c r="A22" s="3" t="n">
        <v>46085</v>
      </c>
      <c r="B22" s="4" t="str">
        <f aca="false">TEXT(A22,"MMM YYYY")</f>
        <v>Mar 2026</v>
      </c>
      <c r="C22" s="5" t="s">
        <v>17</v>
      </c>
      <c r="D22" s="5" t="s">
        <v>18</v>
      </c>
      <c r="E22" s="5" t="s">
        <v>16</v>
      </c>
      <c r="F22" s="6" t="n">
        <v>1748</v>
      </c>
      <c r="G22" s="6" t="n">
        <v>30</v>
      </c>
      <c r="H22" s="6" t="n">
        <v>2760</v>
      </c>
      <c r="I22" s="6" t="n">
        <v>149040</v>
      </c>
      <c r="J22" s="6" t="n">
        <v>77</v>
      </c>
      <c r="K22" s="6" t="n">
        <v>54740</v>
      </c>
    </row>
    <row r="23" customFormat="false" ht="15.75" hidden="false" customHeight="true" outlineLevel="0" collapsed="false">
      <c r="A23" s="7" t="n">
        <v>46085</v>
      </c>
      <c r="B23" s="8" t="str">
        <f aca="false">TEXT(A23,"MMM YYYY")</f>
        <v>Mar 2026</v>
      </c>
      <c r="C23" s="9" t="s">
        <v>17</v>
      </c>
      <c r="D23" s="9" t="s">
        <v>12</v>
      </c>
      <c r="E23" s="9" t="s">
        <v>13</v>
      </c>
      <c r="F23" s="10" t="n">
        <v>920</v>
      </c>
      <c r="G23" s="10" t="n">
        <v>100</v>
      </c>
      <c r="H23" s="10" t="n">
        <v>1380</v>
      </c>
      <c r="I23" s="10" t="n">
        <v>7268</v>
      </c>
      <c r="J23" s="10" t="n">
        <v>57</v>
      </c>
      <c r="K23" s="10" t="n">
        <v>92000</v>
      </c>
    </row>
    <row r="24" customFormat="false" ht="15.75" hidden="false" customHeight="true" outlineLevel="0" collapsed="false">
      <c r="A24" s="3" t="n">
        <v>46085</v>
      </c>
      <c r="B24" s="4" t="str">
        <f aca="false">TEXT(A24,"MMM YYYY")</f>
        <v>Mar 2026</v>
      </c>
      <c r="C24" s="5" t="s">
        <v>17</v>
      </c>
      <c r="D24" s="5" t="s">
        <v>12</v>
      </c>
      <c r="E24" s="5" t="s">
        <v>16</v>
      </c>
      <c r="F24" s="6" t="n">
        <v>1288</v>
      </c>
      <c r="G24" s="6" t="n">
        <v>50</v>
      </c>
      <c r="H24" s="6" t="n">
        <v>1380</v>
      </c>
      <c r="I24" s="6" t="n">
        <v>7268</v>
      </c>
      <c r="J24" s="6" t="n">
        <v>57</v>
      </c>
      <c r="K24" s="6" t="n">
        <v>64400</v>
      </c>
    </row>
    <row r="25" customFormat="false" ht="15.75" hidden="false" customHeight="true" outlineLevel="0" collapsed="false">
      <c r="A25" s="7" t="n">
        <v>46086</v>
      </c>
      <c r="B25" s="8" t="str">
        <f aca="false">TEXT(A25,"MMM YYYY")</f>
        <v>Mar 2026</v>
      </c>
      <c r="C25" s="9" t="s">
        <v>11</v>
      </c>
      <c r="D25" s="9" t="s">
        <v>15</v>
      </c>
      <c r="E25" s="9" t="s">
        <v>13</v>
      </c>
      <c r="F25" s="10" t="n">
        <v>1288</v>
      </c>
      <c r="G25" s="10" t="n">
        <v>100</v>
      </c>
      <c r="H25" s="10" t="n">
        <v>1104</v>
      </c>
      <c r="I25" s="10" t="n">
        <v>30912</v>
      </c>
      <c r="J25" s="10" t="n">
        <v>72</v>
      </c>
      <c r="K25" s="10" t="n">
        <v>128800</v>
      </c>
    </row>
    <row r="26" customFormat="false" ht="15.75" hidden="false" customHeight="true" outlineLevel="0" collapsed="false">
      <c r="A26" s="3" t="n">
        <v>46086</v>
      </c>
      <c r="B26" s="4" t="str">
        <f aca="false">TEXT(A26,"MMM YYYY")</f>
        <v>Mar 2026</v>
      </c>
      <c r="C26" s="5" t="s">
        <v>14</v>
      </c>
      <c r="D26" s="5" t="s">
        <v>15</v>
      </c>
      <c r="E26" s="5" t="s">
        <v>20</v>
      </c>
      <c r="F26" s="6" t="n">
        <v>92</v>
      </c>
      <c r="G26" s="6" t="n">
        <v>75</v>
      </c>
      <c r="H26" s="6" t="n">
        <v>1104</v>
      </c>
      <c r="I26" s="6" t="n">
        <v>30912</v>
      </c>
      <c r="J26" s="6" t="n">
        <v>72</v>
      </c>
      <c r="K26" s="6" t="n">
        <v>6900</v>
      </c>
    </row>
    <row r="27" customFormat="false" ht="15.75" hidden="false" customHeight="true" outlineLevel="0" collapsed="false">
      <c r="A27" s="7" t="n">
        <v>46086</v>
      </c>
      <c r="B27" s="8" t="str">
        <f aca="false">TEXT(A27,"MMM YYYY")</f>
        <v>Mar 2026</v>
      </c>
      <c r="C27" s="9" t="s">
        <v>17</v>
      </c>
      <c r="D27" s="9" t="s">
        <v>18</v>
      </c>
      <c r="E27" s="9" t="s">
        <v>20</v>
      </c>
      <c r="F27" s="10" t="n">
        <v>1288</v>
      </c>
      <c r="G27" s="10" t="n">
        <v>35</v>
      </c>
      <c r="H27" s="10" t="n">
        <v>1380</v>
      </c>
      <c r="I27" s="10" t="n">
        <v>30084</v>
      </c>
      <c r="J27" s="10" t="n">
        <v>81</v>
      </c>
      <c r="K27" s="10" t="n">
        <v>45080</v>
      </c>
    </row>
    <row r="28" customFormat="false" ht="15.75" hidden="false" customHeight="true" outlineLevel="0" collapsed="false">
      <c r="A28" s="3" t="n">
        <v>46086</v>
      </c>
      <c r="B28" s="4" t="str">
        <f aca="false">TEXT(A28,"MMM YYYY")</f>
        <v>Mar 2026</v>
      </c>
      <c r="C28" s="5" t="s">
        <v>17</v>
      </c>
      <c r="D28" s="5" t="s">
        <v>19</v>
      </c>
      <c r="E28" s="5" t="s">
        <v>16</v>
      </c>
      <c r="F28" s="6" t="n">
        <v>1380</v>
      </c>
      <c r="G28" s="6" t="n">
        <v>35</v>
      </c>
      <c r="H28" s="6" t="n">
        <v>1104</v>
      </c>
      <c r="I28" s="6" t="n">
        <v>32476</v>
      </c>
      <c r="J28" s="6" t="n">
        <v>21</v>
      </c>
      <c r="K28" s="6" t="n">
        <v>48300</v>
      </c>
    </row>
    <row r="29" customFormat="false" ht="15.75" hidden="false" customHeight="true" outlineLevel="0" collapsed="false">
      <c r="A29" s="7" t="n">
        <v>46086</v>
      </c>
      <c r="B29" s="8" t="str">
        <f aca="false">TEXT(A29,"MMM YYYY")</f>
        <v>Mar 2026</v>
      </c>
      <c r="C29" s="9" t="s">
        <v>17</v>
      </c>
      <c r="D29" s="9" t="s">
        <v>15</v>
      </c>
      <c r="E29" s="9" t="s">
        <v>16</v>
      </c>
      <c r="F29" s="10" t="n">
        <v>828</v>
      </c>
      <c r="G29" s="10" t="n">
        <v>50</v>
      </c>
      <c r="H29" s="10" t="n">
        <v>1104</v>
      </c>
      <c r="I29" s="10" t="n">
        <v>30912</v>
      </c>
      <c r="J29" s="10" t="n">
        <v>72</v>
      </c>
      <c r="K29" s="10" t="n">
        <v>41400</v>
      </c>
    </row>
    <row r="30" customFormat="false" ht="15.75" hidden="false" customHeight="true" outlineLevel="0" collapsed="false">
      <c r="A30" s="3" t="n">
        <v>46087</v>
      </c>
      <c r="B30" s="4" t="str">
        <f aca="false">TEXT(A30,"MMM YYYY")</f>
        <v>Mar 2026</v>
      </c>
      <c r="C30" s="5" t="s">
        <v>14</v>
      </c>
      <c r="D30" s="5" t="s">
        <v>12</v>
      </c>
      <c r="E30" s="5" t="s">
        <v>16</v>
      </c>
      <c r="F30" s="6" t="n">
        <v>1564</v>
      </c>
      <c r="G30" s="6" t="n">
        <v>35</v>
      </c>
      <c r="H30" s="6" t="n">
        <v>1380</v>
      </c>
      <c r="I30" s="6" t="n">
        <v>63940</v>
      </c>
      <c r="J30" s="6" t="n">
        <v>45</v>
      </c>
      <c r="K30" s="6" t="n">
        <v>54740</v>
      </c>
    </row>
    <row r="31" customFormat="false" ht="15.75" hidden="false" customHeight="true" outlineLevel="0" collapsed="false">
      <c r="A31" s="7" t="n">
        <v>46087</v>
      </c>
      <c r="B31" s="8" t="str">
        <f aca="false">TEXT(A31,"MMM YYYY")</f>
        <v>Mar 2026</v>
      </c>
      <c r="C31" s="9" t="s">
        <v>14</v>
      </c>
      <c r="D31" s="9" t="s">
        <v>15</v>
      </c>
      <c r="E31" s="9" t="s">
        <v>20</v>
      </c>
      <c r="F31" s="10" t="n">
        <v>92</v>
      </c>
      <c r="G31" s="10" t="n">
        <v>25</v>
      </c>
      <c r="H31" s="10" t="n">
        <v>1196</v>
      </c>
      <c r="I31" s="10" t="n">
        <v>56488</v>
      </c>
      <c r="J31" s="10" t="n">
        <v>68</v>
      </c>
      <c r="K31" s="10" t="n">
        <v>2300</v>
      </c>
    </row>
    <row r="32" customFormat="false" ht="15.75" hidden="false" customHeight="true" outlineLevel="0" collapsed="false">
      <c r="A32" s="3" t="n">
        <v>46087</v>
      </c>
      <c r="B32" s="4" t="str">
        <f aca="false">TEXT(A32,"MMM YYYY")</f>
        <v>Mar 2026</v>
      </c>
      <c r="C32" s="5" t="s">
        <v>17</v>
      </c>
      <c r="D32" s="5" t="s">
        <v>19</v>
      </c>
      <c r="E32" s="5" t="s">
        <v>16</v>
      </c>
      <c r="F32" s="6" t="n">
        <v>3404</v>
      </c>
      <c r="G32" s="6" t="n">
        <v>42.5</v>
      </c>
      <c r="H32" s="6" t="n">
        <v>2208</v>
      </c>
      <c r="I32" s="6" t="n">
        <v>32384</v>
      </c>
      <c r="J32" s="6" t="n">
        <v>28</v>
      </c>
      <c r="K32" s="6" t="n">
        <v>145360</v>
      </c>
    </row>
    <row r="33" customFormat="false" ht="15.75" hidden="false" customHeight="true" outlineLevel="0" collapsed="false">
      <c r="A33" s="7" t="n">
        <v>46088</v>
      </c>
      <c r="B33" s="8" t="str">
        <f aca="false">TEXT(A33,"MMM YYYY")</f>
        <v>Mar 2026</v>
      </c>
      <c r="C33" s="9" t="s">
        <v>11</v>
      </c>
      <c r="D33" s="9" t="s">
        <v>19</v>
      </c>
      <c r="E33" s="9" t="s">
        <v>13</v>
      </c>
      <c r="F33" s="10" t="n">
        <v>368</v>
      </c>
      <c r="G33" s="10" t="n">
        <v>25</v>
      </c>
      <c r="H33" s="10" t="n">
        <v>1288</v>
      </c>
      <c r="I33" s="10" t="n">
        <v>55660</v>
      </c>
      <c r="J33" s="10" t="n">
        <v>22</v>
      </c>
      <c r="K33" s="10" t="n">
        <v>9200</v>
      </c>
    </row>
    <row r="34" customFormat="false" ht="15.75" hidden="false" customHeight="true" outlineLevel="0" collapsed="false">
      <c r="A34" s="3" t="n">
        <v>46088</v>
      </c>
      <c r="B34" s="4" t="str">
        <f aca="false">TEXT(A34,"MMM YYYY")</f>
        <v>Mar 2026</v>
      </c>
      <c r="C34" s="5" t="s">
        <v>11</v>
      </c>
      <c r="D34" s="5" t="s">
        <v>19</v>
      </c>
      <c r="E34" s="5" t="s">
        <v>20</v>
      </c>
      <c r="F34" s="6" t="n">
        <v>1012</v>
      </c>
      <c r="G34" s="6" t="n">
        <v>50</v>
      </c>
      <c r="H34" s="6" t="n">
        <v>1288</v>
      </c>
      <c r="I34" s="6" t="n">
        <v>55660</v>
      </c>
      <c r="J34" s="6" t="n">
        <v>22</v>
      </c>
      <c r="K34" s="6" t="n">
        <v>50600</v>
      </c>
    </row>
    <row r="35" customFormat="false" ht="15.75" hidden="false" customHeight="true" outlineLevel="0" collapsed="false">
      <c r="A35" s="7" t="n">
        <v>46088</v>
      </c>
      <c r="B35" s="8" t="str">
        <f aca="false">TEXT(A35,"MMM YYYY")</f>
        <v>Mar 2026</v>
      </c>
      <c r="C35" s="9" t="s">
        <v>11</v>
      </c>
      <c r="D35" s="9" t="s">
        <v>21</v>
      </c>
      <c r="E35" s="9" t="s">
        <v>13</v>
      </c>
      <c r="F35" s="10" t="n">
        <v>644</v>
      </c>
      <c r="G35" s="10" t="n">
        <v>50</v>
      </c>
      <c r="H35" s="10" t="n">
        <v>552</v>
      </c>
      <c r="I35" s="10" t="n">
        <v>5612</v>
      </c>
      <c r="J35" s="10" t="n">
        <v>34</v>
      </c>
      <c r="K35" s="10" t="n">
        <v>32200</v>
      </c>
    </row>
    <row r="36" customFormat="false" ht="15.75" hidden="false" customHeight="true" outlineLevel="0" collapsed="false">
      <c r="A36" s="3" t="n">
        <v>46088</v>
      </c>
      <c r="B36" s="4" t="str">
        <f aca="false">TEXT(A36,"MMM YYYY")</f>
        <v>Mar 2026</v>
      </c>
      <c r="C36" s="5" t="s">
        <v>14</v>
      </c>
      <c r="D36" s="5" t="s">
        <v>12</v>
      </c>
      <c r="E36" s="5" t="s">
        <v>16</v>
      </c>
      <c r="F36" s="6" t="n">
        <v>460</v>
      </c>
      <c r="G36" s="6" t="n">
        <v>75</v>
      </c>
      <c r="H36" s="6" t="n">
        <v>644</v>
      </c>
      <c r="I36" s="6" t="n">
        <v>15272</v>
      </c>
      <c r="J36" s="6" t="n">
        <v>45</v>
      </c>
      <c r="K36" s="6" t="n">
        <v>34500</v>
      </c>
    </row>
    <row r="37" customFormat="false" ht="15.75" hidden="false" customHeight="true" outlineLevel="0" collapsed="false">
      <c r="A37" s="7" t="n">
        <v>46088</v>
      </c>
      <c r="B37" s="8" t="str">
        <f aca="false">TEXT(A37,"MMM YYYY")</f>
        <v>Mar 2026</v>
      </c>
      <c r="C37" s="9" t="s">
        <v>14</v>
      </c>
      <c r="D37" s="9" t="s">
        <v>15</v>
      </c>
      <c r="E37" s="9" t="s">
        <v>13</v>
      </c>
      <c r="F37" s="10" t="n">
        <v>3128</v>
      </c>
      <c r="G37" s="10" t="n">
        <v>55</v>
      </c>
      <c r="H37" s="10" t="n">
        <v>736</v>
      </c>
      <c r="I37" s="10" t="n">
        <v>22264</v>
      </c>
      <c r="J37" s="10" t="n">
        <v>69</v>
      </c>
      <c r="K37" s="10" t="n">
        <v>168360</v>
      </c>
    </row>
    <row r="38" customFormat="false" ht="15.75" hidden="false" customHeight="true" outlineLevel="0" collapsed="false">
      <c r="A38" s="3" t="n">
        <v>46088</v>
      </c>
      <c r="B38" s="4" t="str">
        <f aca="false">TEXT(A38,"MMM YYYY")</f>
        <v>Mar 2026</v>
      </c>
      <c r="C38" s="5" t="s">
        <v>14</v>
      </c>
      <c r="D38" s="5" t="s">
        <v>15</v>
      </c>
      <c r="E38" s="5" t="s">
        <v>16</v>
      </c>
      <c r="F38" s="6" t="n">
        <v>368</v>
      </c>
      <c r="G38" s="6" t="n">
        <v>35</v>
      </c>
      <c r="H38" s="6" t="n">
        <v>368</v>
      </c>
      <c r="I38" s="6" t="n">
        <v>11132</v>
      </c>
      <c r="J38" s="6" t="n">
        <v>69</v>
      </c>
      <c r="K38" s="6" t="n">
        <v>12880</v>
      </c>
    </row>
    <row r="39" customFormat="false" ht="15.75" hidden="false" customHeight="true" outlineLevel="0" collapsed="false">
      <c r="A39" s="7" t="n">
        <v>46088</v>
      </c>
      <c r="B39" s="8" t="str">
        <f aca="false">TEXT(A39,"MMM YYYY")</f>
        <v>Mar 2026</v>
      </c>
      <c r="C39" s="9" t="s">
        <v>17</v>
      </c>
      <c r="D39" s="9" t="s">
        <v>15</v>
      </c>
      <c r="E39" s="9" t="s">
        <v>16</v>
      </c>
      <c r="F39" s="10" t="n">
        <v>644</v>
      </c>
      <c r="G39" s="10" t="n">
        <v>75</v>
      </c>
      <c r="H39" s="10" t="n">
        <v>368</v>
      </c>
      <c r="I39" s="10" t="n">
        <v>11132</v>
      </c>
      <c r="J39" s="10" t="n">
        <v>69</v>
      </c>
      <c r="K39" s="10" t="n">
        <v>48300</v>
      </c>
    </row>
    <row r="40" customFormat="false" ht="15.75" hidden="false" customHeight="true" outlineLevel="0" collapsed="false">
      <c r="A40" s="3" t="n">
        <v>46089</v>
      </c>
      <c r="B40" s="4" t="str">
        <f aca="false">TEXT(A40,"MMM YYYY")</f>
        <v>Mar 2026</v>
      </c>
      <c r="C40" s="5" t="s">
        <v>11</v>
      </c>
      <c r="D40" s="5" t="s">
        <v>19</v>
      </c>
      <c r="E40" s="5" t="s">
        <v>16</v>
      </c>
      <c r="F40" s="6" t="n">
        <v>920</v>
      </c>
      <c r="G40" s="6" t="n">
        <v>100</v>
      </c>
      <c r="H40" s="6" t="n">
        <v>1012</v>
      </c>
      <c r="I40" s="6" t="n">
        <v>41768</v>
      </c>
      <c r="J40" s="6" t="n">
        <v>22</v>
      </c>
      <c r="K40" s="6" t="n">
        <v>92000</v>
      </c>
    </row>
    <row r="41" customFormat="false" ht="15.75" hidden="false" customHeight="true" outlineLevel="0" collapsed="false">
      <c r="A41" s="7" t="n">
        <v>46089</v>
      </c>
      <c r="B41" s="8" t="str">
        <f aca="false">TEXT(A41,"MMM YYYY")</f>
        <v>Mar 2026</v>
      </c>
      <c r="C41" s="9" t="s">
        <v>11</v>
      </c>
      <c r="D41" s="9" t="s">
        <v>21</v>
      </c>
      <c r="E41" s="9" t="s">
        <v>16</v>
      </c>
      <c r="F41" s="10" t="n">
        <v>368</v>
      </c>
      <c r="G41" s="10" t="n">
        <v>35</v>
      </c>
      <c r="H41" s="10" t="n">
        <v>1472</v>
      </c>
      <c r="I41" s="10" t="n">
        <v>67252</v>
      </c>
      <c r="J41" s="10" t="n">
        <v>35</v>
      </c>
      <c r="K41" s="10" t="n">
        <v>12880</v>
      </c>
    </row>
    <row r="42" customFormat="false" ht="15.75" hidden="false" customHeight="true" outlineLevel="0" collapsed="false">
      <c r="A42" s="3" t="n">
        <v>46089</v>
      </c>
      <c r="B42" s="4" t="str">
        <f aca="false">TEXT(A42,"MMM YYYY")</f>
        <v>Mar 2026</v>
      </c>
      <c r="C42" s="5" t="s">
        <v>14</v>
      </c>
      <c r="D42" s="5" t="s">
        <v>18</v>
      </c>
      <c r="E42" s="5" t="s">
        <v>13</v>
      </c>
      <c r="F42" s="6" t="n">
        <v>736</v>
      </c>
      <c r="G42" s="6" t="n">
        <v>35</v>
      </c>
      <c r="H42" s="6" t="n">
        <v>1288</v>
      </c>
      <c r="I42" s="6" t="n">
        <v>37352</v>
      </c>
      <c r="J42" s="6" t="n">
        <v>88</v>
      </c>
      <c r="K42" s="6" t="n">
        <v>25760</v>
      </c>
    </row>
    <row r="43" customFormat="false" ht="15.75" hidden="false" customHeight="true" outlineLevel="0" collapsed="false">
      <c r="A43" s="7" t="n">
        <v>46089</v>
      </c>
      <c r="B43" s="8" t="str">
        <f aca="false">TEXT(A43,"MMM YYYY")</f>
        <v>Mar 2026</v>
      </c>
      <c r="C43" s="9" t="s">
        <v>14</v>
      </c>
      <c r="D43" s="9" t="s">
        <v>12</v>
      </c>
      <c r="E43" s="9" t="s">
        <v>13</v>
      </c>
      <c r="F43" s="10" t="n">
        <v>1748</v>
      </c>
      <c r="G43" s="10" t="n">
        <v>50</v>
      </c>
      <c r="H43" s="10" t="n">
        <v>1288</v>
      </c>
      <c r="I43" s="10" t="n">
        <v>7176</v>
      </c>
      <c r="J43" s="10" t="n">
        <v>52</v>
      </c>
      <c r="K43" s="10" t="n">
        <v>87400</v>
      </c>
    </row>
    <row r="44" customFormat="false" ht="15.75" hidden="false" customHeight="true" outlineLevel="0" collapsed="false">
      <c r="A44" s="3" t="n">
        <v>46089</v>
      </c>
      <c r="B44" s="4" t="str">
        <f aca="false">TEXT(A44,"MMM YYYY")</f>
        <v>Mar 2026</v>
      </c>
      <c r="C44" s="5" t="s">
        <v>17</v>
      </c>
      <c r="D44" s="5" t="s">
        <v>21</v>
      </c>
      <c r="E44" s="5" t="s">
        <v>20</v>
      </c>
      <c r="F44" s="6" t="n">
        <v>1840</v>
      </c>
      <c r="G44" s="6" t="n">
        <v>100</v>
      </c>
      <c r="H44" s="6" t="n">
        <v>1472</v>
      </c>
      <c r="I44" s="6" t="n">
        <v>67252</v>
      </c>
      <c r="J44" s="6" t="n">
        <v>35</v>
      </c>
      <c r="K44" s="6" t="n">
        <v>184000</v>
      </c>
    </row>
    <row r="45" customFormat="false" ht="15.75" hidden="false" customHeight="true" outlineLevel="0" collapsed="false">
      <c r="A45" s="7" t="n">
        <v>46090</v>
      </c>
      <c r="B45" s="8" t="str">
        <f aca="false">TEXT(A45,"MMM YYYY")</f>
        <v>Mar 2026</v>
      </c>
      <c r="C45" s="9" t="s">
        <v>11</v>
      </c>
      <c r="D45" s="9" t="s">
        <v>12</v>
      </c>
      <c r="E45" s="9" t="s">
        <v>16</v>
      </c>
      <c r="F45" s="10" t="n">
        <v>276</v>
      </c>
      <c r="G45" s="10" t="n">
        <v>100</v>
      </c>
      <c r="H45" s="10" t="n">
        <v>644</v>
      </c>
      <c r="I45" s="10" t="n">
        <v>36892</v>
      </c>
      <c r="J45" s="10" t="n">
        <v>46</v>
      </c>
      <c r="K45" s="10" t="n">
        <v>27600</v>
      </c>
    </row>
    <row r="46" customFormat="false" ht="15.75" hidden="false" customHeight="true" outlineLevel="0" collapsed="false">
      <c r="A46" s="3" t="n">
        <v>46090</v>
      </c>
      <c r="B46" s="4" t="str">
        <f aca="false">TEXT(A46,"MMM YYYY")</f>
        <v>Mar 2026</v>
      </c>
      <c r="C46" s="5" t="s">
        <v>11</v>
      </c>
      <c r="D46" s="5" t="s">
        <v>15</v>
      </c>
      <c r="E46" s="5" t="s">
        <v>13</v>
      </c>
      <c r="F46" s="6" t="n">
        <v>1840</v>
      </c>
      <c r="G46" s="6" t="n">
        <v>100</v>
      </c>
      <c r="H46" s="6" t="n">
        <v>460</v>
      </c>
      <c r="I46" s="6" t="n">
        <v>11592</v>
      </c>
      <c r="J46" s="6" t="n">
        <v>56</v>
      </c>
      <c r="K46" s="6" t="n">
        <v>184000</v>
      </c>
    </row>
    <row r="47" customFormat="false" ht="15.75" hidden="false" customHeight="true" outlineLevel="0" collapsed="false">
      <c r="A47" s="7" t="n">
        <v>46090</v>
      </c>
      <c r="B47" s="8" t="str">
        <f aca="false">TEXT(A47,"MMM YYYY")</f>
        <v>Mar 2026</v>
      </c>
      <c r="C47" s="9" t="s">
        <v>14</v>
      </c>
      <c r="D47" s="9" t="s">
        <v>19</v>
      </c>
      <c r="E47" s="9" t="s">
        <v>16</v>
      </c>
      <c r="F47" s="10" t="n">
        <v>1748</v>
      </c>
      <c r="G47" s="10" t="n">
        <v>35</v>
      </c>
      <c r="H47" s="10" t="n">
        <v>736</v>
      </c>
      <c r="I47" s="10" t="n">
        <v>8832</v>
      </c>
      <c r="J47" s="10" t="n">
        <v>20</v>
      </c>
      <c r="K47" s="10" t="n">
        <v>61180</v>
      </c>
    </row>
    <row r="48" customFormat="false" ht="15.75" hidden="false" customHeight="true" outlineLevel="0" collapsed="false">
      <c r="A48" s="3" t="n">
        <v>46090</v>
      </c>
      <c r="B48" s="4" t="str">
        <f aca="false">TEXT(A48,"MMM YYYY")</f>
        <v>Mar 2026</v>
      </c>
      <c r="C48" s="5" t="s">
        <v>14</v>
      </c>
      <c r="D48" s="5" t="s">
        <v>21</v>
      </c>
      <c r="E48" s="5" t="s">
        <v>13</v>
      </c>
      <c r="F48" s="6" t="n">
        <v>460</v>
      </c>
      <c r="G48" s="6" t="n">
        <v>50</v>
      </c>
      <c r="H48" s="6" t="n">
        <v>1288</v>
      </c>
      <c r="I48" s="6" t="n">
        <v>9752</v>
      </c>
      <c r="J48" s="6" t="n">
        <v>30</v>
      </c>
      <c r="K48" s="6" t="n">
        <v>23000</v>
      </c>
    </row>
    <row r="49" customFormat="false" ht="15.75" hidden="false" customHeight="true" outlineLevel="0" collapsed="false">
      <c r="A49" s="7" t="n">
        <v>46090</v>
      </c>
      <c r="B49" s="8" t="str">
        <f aca="false">TEXT(A49,"MMM YYYY")</f>
        <v>Mar 2026</v>
      </c>
      <c r="C49" s="9" t="s">
        <v>14</v>
      </c>
      <c r="D49" s="9" t="s">
        <v>15</v>
      </c>
      <c r="E49" s="9" t="s">
        <v>13</v>
      </c>
      <c r="F49" s="10" t="n">
        <v>1840</v>
      </c>
      <c r="G49" s="10" t="n">
        <v>75</v>
      </c>
      <c r="H49" s="10" t="n">
        <v>460</v>
      </c>
      <c r="I49" s="10" t="n">
        <v>11592</v>
      </c>
      <c r="J49" s="10" t="n">
        <v>56</v>
      </c>
      <c r="K49" s="10" t="n">
        <v>138000</v>
      </c>
    </row>
    <row r="50" customFormat="false" ht="15.75" hidden="false" customHeight="true" outlineLevel="0" collapsed="false">
      <c r="A50" s="3" t="n">
        <v>46090</v>
      </c>
      <c r="B50" s="4" t="str">
        <f aca="false">TEXT(A50,"MMM YYYY")</f>
        <v>Mar 2026</v>
      </c>
      <c r="C50" s="5" t="s">
        <v>17</v>
      </c>
      <c r="D50" s="5" t="s">
        <v>12</v>
      </c>
      <c r="E50" s="5" t="s">
        <v>13</v>
      </c>
      <c r="F50" s="6" t="n">
        <v>920</v>
      </c>
      <c r="G50" s="6" t="n">
        <v>75</v>
      </c>
      <c r="H50" s="6" t="n">
        <v>644</v>
      </c>
      <c r="I50" s="6" t="n">
        <v>36892</v>
      </c>
      <c r="J50" s="6" t="n">
        <v>46</v>
      </c>
      <c r="K50" s="6" t="n">
        <v>69000</v>
      </c>
    </row>
    <row r="51" customFormat="false" ht="15.75" hidden="false" customHeight="true" outlineLevel="0" collapsed="false">
      <c r="A51" s="7" t="n">
        <v>46090</v>
      </c>
      <c r="B51" s="8" t="str">
        <f aca="false">TEXT(A51,"MMM YYYY")</f>
        <v>Mar 2026</v>
      </c>
      <c r="C51" s="9" t="s">
        <v>17</v>
      </c>
      <c r="D51" s="9" t="s">
        <v>15</v>
      </c>
      <c r="E51" s="9" t="s">
        <v>16</v>
      </c>
      <c r="F51" s="10" t="n">
        <v>920</v>
      </c>
      <c r="G51" s="10" t="n">
        <v>75</v>
      </c>
      <c r="H51" s="10" t="n">
        <v>460</v>
      </c>
      <c r="I51" s="10" t="n">
        <v>11592</v>
      </c>
      <c r="J51" s="10" t="n">
        <v>56</v>
      </c>
      <c r="K51" s="10" t="n">
        <v>69000</v>
      </c>
    </row>
    <row r="52" customFormat="false" ht="15.75" hidden="false" customHeight="true" outlineLevel="0" collapsed="false">
      <c r="A52" s="3" t="n">
        <v>46091</v>
      </c>
      <c r="B52" s="4" t="str">
        <f aca="false">TEXT(A52,"MMM YYYY")</f>
        <v>Mar 2026</v>
      </c>
      <c r="C52" s="5" t="s">
        <v>11</v>
      </c>
      <c r="D52" s="5" t="s">
        <v>19</v>
      </c>
      <c r="E52" s="5" t="s">
        <v>16</v>
      </c>
      <c r="F52" s="6" t="n">
        <v>1012</v>
      </c>
      <c r="G52" s="6" t="n">
        <v>75</v>
      </c>
      <c r="H52" s="6" t="n">
        <v>644</v>
      </c>
      <c r="I52" s="6" t="n">
        <v>11408</v>
      </c>
      <c r="J52" s="6" t="n">
        <v>31</v>
      </c>
      <c r="K52" s="6" t="n">
        <v>75900</v>
      </c>
    </row>
    <row r="53" customFormat="false" ht="15.75" hidden="false" customHeight="true" outlineLevel="0" collapsed="false">
      <c r="A53" s="7" t="n">
        <v>46091</v>
      </c>
      <c r="B53" s="8" t="str">
        <f aca="false">TEXT(A53,"MMM YYYY")</f>
        <v>Mar 2026</v>
      </c>
      <c r="C53" s="9" t="s">
        <v>11</v>
      </c>
      <c r="D53" s="9" t="s">
        <v>12</v>
      </c>
      <c r="E53" s="9" t="s">
        <v>20</v>
      </c>
      <c r="F53" s="10" t="n">
        <v>184</v>
      </c>
      <c r="G53" s="10" t="n">
        <v>75</v>
      </c>
      <c r="H53" s="10" t="n">
        <v>368</v>
      </c>
      <c r="I53" s="10" t="n">
        <v>6348</v>
      </c>
      <c r="J53" s="10" t="n">
        <v>50</v>
      </c>
      <c r="K53" s="10" t="n">
        <v>13800</v>
      </c>
    </row>
    <row r="54" customFormat="false" ht="15.75" hidden="false" customHeight="true" outlineLevel="0" collapsed="false">
      <c r="A54" s="3" t="n">
        <v>46091</v>
      </c>
      <c r="B54" s="4" t="str">
        <f aca="false">TEXT(A54,"MMM YYYY")</f>
        <v>Mar 2026</v>
      </c>
      <c r="C54" s="5" t="s">
        <v>11</v>
      </c>
      <c r="D54" s="5" t="s">
        <v>15</v>
      </c>
      <c r="E54" s="5" t="s">
        <v>16</v>
      </c>
      <c r="F54" s="6" t="n">
        <v>1104</v>
      </c>
      <c r="G54" s="6" t="n">
        <v>75</v>
      </c>
      <c r="H54" s="6" t="n">
        <v>1104</v>
      </c>
      <c r="I54" s="6" t="n">
        <v>36432</v>
      </c>
      <c r="J54" s="6" t="n">
        <v>57</v>
      </c>
      <c r="K54" s="6" t="n">
        <v>82800</v>
      </c>
    </row>
    <row r="55" customFormat="false" ht="15.75" hidden="false" customHeight="true" outlineLevel="0" collapsed="false">
      <c r="A55" s="7" t="n">
        <v>46091</v>
      </c>
      <c r="B55" s="8" t="str">
        <f aca="false">TEXT(A55,"MMM YYYY")</f>
        <v>Mar 2026</v>
      </c>
      <c r="C55" s="9" t="s">
        <v>14</v>
      </c>
      <c r="D55" s="9" t="s">
        <v>12</v>
      </c>
      <c r="E55" s="9" t="s">
        <v>20</v>
      </c>
      <c r="F55" s="10" t="n">
        <v>828</v>
      </c>
      <c r="G55" s="10" t="n">
        <v>100</v>
      </c>
      <c r="H55" s="10" t="n">
        <v>368</v>
      </c>
      <c r="I55" s="10" t="n">
        <v>6348</v>
      </c>
      <c r="J55" s="10" t="n">
        <v>50</v>
      </c>
      <c r="K55" s="10" t="n">
        <v>82800</v>
      </c>
    </row>
    <row r="56" customFormat="false" ht="15.75" hidden="false" customHeight="true" outlineLevel="0" collapsed="false">
      <c r="A56" s="3" t="n">
        <v>46091</v>
      </c>
      <c r="B56" s="4" t="str">
        <f aca="false">TEXT(A56,"MMM YYYY")</f>
        <v>Mar 2026</v>
      </c>
      <c r="C56" s="5" t="s">
        <v>17</v>
      </c>
      <c r="D56" s="5" t="s">
        <v>19</v>
      </c>
      <c r="E56" s="5" t="s">
        <v>20</v>
      </c>
      <c r="F56" s="6" t="n">
        <v>552</v>
      </c>
      <c r="G56" s="6" t="n">
        <v>100</v>
      </c>
      <c r="H56" s="6" t="n">
        <v>644</v>
      </c>
      <c r="I56" s="6" t="n">
        <v>11408</v>
      </c>
      <c r="J56" s="6" t="n">
        <v>31</v>
      </c>
      <c r="K56" s="6" t="n">
        <v>55200</v>
      </c>
    </row>
    <row r="57" customFormat="false" ht="15.75" hidden="false" customHeight="true" outlineLevel="0" collapsed="false">
      <c r="A57" s="7" t="n">
        <v>46091</v>
      </c>
      <c r="B57" s="8" t="str">
        <f aca="false">TEXT(A57,"MMM YYYY")</f>
        <v>Mar 2026</v>
      </c>
      <c r="C57" s="9" t="s">
        <v>17</v>
      </c>
      <c r="D57" s="9" t="s">
        <v>21</v>
      </c>
      <c r="E57" s="9" t="s">
        <v>16</v>
      </c>
      <c r="F57" s="10" t="n">
        <v>92</v>
      </c>
      <c r="G57" s="10" t="n">
        <v>25</v>
      </c>
      <c r="H57" s="10" t="n">
        <v>1288</v>
      </c>
      <c r="I57" s="10" t="n">
        <v>60720</v>
      </c>
      <c r="J57" s="10" t="n">
        <v>34</v>
      </c>
      <c r="K57" s="10" t="n">
        <v>2300</v>
      </c>
    </row>
    <row r="58" customFormat="false" ht="15.75" hidden="false" customHeight="true" outlineLevel="0" collapsed="false">
      <c r="A58" s="3" t="n">
        <v>46092</v>
      </c>
      <c r="B58" s="4" t="str">
        <f aca="false">TEXT(A58,"MMM YYYY")</f>
        <v>Mar 2026</v>
      </c>
      <c r="C58" s="5" t="s">
        <v>11</v>
      </c>
      <c r="D58" s="5" t="s">
        <v>18</v>
      </c>
      <c r="E58" s="5" t="s">
        <v>20</v>
      </c>
      <c r="F58" s="6" t="n">
        <v>1564</v>
      </c>
      <c r="G58" s="6" t="n">
        <v>25</v>
      </c>
      <c r="H58" s="6" t="n">
        <v>920</v>
      </c>
      <c r="I58" s="6" t="n">
        <v>13432</v>
      </c>
      <c r="J58" s="6" t="n">
        <v>82</v>
      </c>
      <c r="K58" s="6" t="n">
        <v>39100</v>
      </c>
    </row>
    <row r="59" customFormat="false" ht="15.75" hidden="false" customHeight="true" outlineLevel="0" collapsed="false">
      <c r="A59" s="7" t="n">
        <v>46092</v>
      </c>
      <c r="B59" s="8" t="str">
        <f aca="false">TEXT(A59,"MMM YYYY")</f>
        <v>Mar 2026</v>
      </c>
      <c r="C59" s="9" t="s">
        <v>11</v>
      </c>
      <c r="D59" s="9" t="s">
        <v>18</v>
      </c>
      <c r="E59" s="9" t="s">
        <v>16</v>
      </c>
      <c r="F59" s="10" t="n">
        <v>1564</v>
      </c>
      <c r="G59" s="10" t="n">
        <v>50</v>
      </c>
      <c r="H59" s="10" t="n">
        <v>920</v>
      </c>
      <c r="I59" s="10" t="n">
        <v>13432</v>
      </c>
      <c r="J59" s="10" t="n">
        <v>82</v>
      </c>
      <c r="K59" s="10" t="n">
        <v>78200</v>
      </c>
    </row>
    <row r="60" customFormat="false" ht="15.75" hidden="false" customHeight="true" outlineLevel="0" collapsed="false">
      <c r="A60" s="3" t="n">
        <v>46092</v>
      </c>
      <c r="B60" s="4" t="str">
        <f aca="false">TEXT(A60,"MMM YYYY")</f>
        <v>Mar 2026</v>
      </c>
      <c r="C60" s="5" t="s">
        <v>11</v>
      </c>
      <c r="D60" s="5" t="s">
        <v>15</v>
      </c>
      <c r="E60" s="5" t="s">
        <v>20</v>
      </c>
      <c r="F60" s="6" t="n">
        <v>920</v>
      </c>
      <c r="G60" s="6" t="n">
        <v>100</v>
      </c>
      <c r="H60" s="6" t="n">
        <v>1104</v>
      </c>
      <c r="I60" s="6" t="n">
        <v>3588</v>
      </c>
      <c r="J60" s="6" t="n">
        <v>58</v>
      </c>
      <c r="K60" s="6" t="n">
        <v>92000</v>
      </c>
    </row>
    <row r="61" customFormat="false" ht="15.75" hidden="false" customHeight="true" outlineLevel="0" collapsed="false">
      <c r="A61" s="7" t="n">
        <v>46092</v>
      </c>
      <c r="B61" s="8" t="str">
        <f aca="false">TEXT(A61,"MMM YYYY")</f>
        <v>Mar 2026</v>
      </c>
      <c r="C61" s="9" t="s">
        <v>14</v>
      </c>
      <c r="D61" s="9" t="s">
        <v>18</v>
      </c>
      <c r="E61" s="9" t="s">
        <v>20</v>
      </c>
      <c r="F61" s="10" t="n">
        <v>644</v>
      </c>
      <c r="G61" s="10" t="n">
        <v>50</v>
      </c>
      <c r="H61" s="10" t="n">
        <v>920</v>
      </c>
      <c r="I61" s="10" t="n">
        <v>13432</v>
      </c>
      <c r="J61" s="10" t="n">
        <v>82</v>
      </c>
      <c r="K61" s="10" t="n">
        <v>32200</v>
      </c>
    </row>
    <row r="62" customFormat="false" ht="15.75" hidden="false" customHeight="true" outlineLevel="0" collapsed="false">
      <c r="A62" s="3" t="n">
        <v>46092</v>
      </c>
      <c r="B62" s="4" t="str">
        <f aca="false">TEXT(A62,"MMM YYYY")</f>
        <v>Mar 2026</v>
      </c>
      <c r="C62" s="5" t="s">
        <v>14</v>
      </c>
      <c r="D62" s="5" t="s">
        <v>18</v>
      </c>
      <c r="E62" s="5" t="s">
        <v>16</v>
      </c>
      <c r="F62" s="6" t="n">
        <v>552</v>
      </c>
      <c r="G62" s="6" t="n">
        <v>50</v>
      </c>
      <c r="H62" s="6" t="n">
        <v>920</v>
      </c>
      <c r="I62" s="6" t="n">
        <v>13432</v>
      </c>
      <c r="J62" s="6" t="n">
        <v>82</v>
      </c>
      <c r="K62" s="6" t="n">
        <v>27600</v>
      </c>
    </row>
    <row r="63" customFormat="false" ht="15.75" hidden="false" customHeight="true" outlineLevel="0" collapsed="false">
      <c r="A63" s="7" t="n">
        <v>46092</v>
      </c>
      <c r="B63" s="8" t="str">
        <f aca="false">TEXT(A63,"MMM YYYY")</f>
        <v>Mar 2026</v>
      </c>
      <c r="C63" s="9" t="s">
        <v>14</v>
      </c>
      <c r="D63" s="9" t="s">
        <v>19</v>
      </c>
      <c r="E63" s="9" t="s">
        <v>16</v>
      </c>
      <c r="F63" s="10" t="n">
        <v>736</v>
      </c>
      <c r="G63" s="10" t="n">
        <v>25</v>
      </c>
      <c r="H63" s="10" t="n">
        <v>644</v>
      </c>
      <c r="I63" s="10" t="n">
        <v>14168</v>
      </c>
      <c r="J63" s="10" t="n">
        <v>16</v>
      </c>
      <c r="K63" s="10" t="n">
        <v>18400</v>
      </c>
    </row>
    <row r="64" customFormat="false" ht="15.75" hidden="false" customHeight="true" outlineLevel="0" collapsed="false">
      <c r="A64" s="3" t="n">
        <v>46092</v>
      </c>
      <c r="B64" s="4" t="str">
        <f aca="false">TEXT(A64,"MMM YYYY")</f>
        <v>Mar 2026</v>
      </c>
      <c r="C64" s="5" t="s">
        <v>17</v>
      </c>
      <c r="D64" s="5" t="s">
        <v>12</v>
      </c>
      <c r="E64" s="5" t="s">
        <v>16</v>
      </c>
      <c r="F64" s="6" t="n">
        <v>1472</v>
      </c>
      <c r="G64" s="6" t="n">
        <v>25</v>
      </c>
      <c r="H64" s="6" t="n">
        <v>828</v>
      </c>
      <c r="I64" s="6" t="n">
        <v>13156</v>
      </c>
      <c r="J64" s="6" t="n">
        <v>46</v>
      </c>
      <c r="K64" s="6" t="n">
        <v>36800</v>
      </c>
    </row>
    <row r="65" customFormat="false" ht="15.75" hidden="false" customHeight="true" outlineLevel="0" collapsed="false">
      <c r="A65" s="7" t="n">
        <v>46093</v>
      </c>
      <c r="B65" s="8" t="str">
        <f aca="false">TEXT(A65,"MMM YYYY")</f>
        <v>Mar 2026</v>
      </c>
      <c r="C65" s="9" t="s">
        <v>11</v>
      </c>
      <c r="D65" s="9" t="s">
        <v>15</v>
      </c>
      <c r="E65" s="9" t="s">
        <v>16</v>
      </c>
      <c r="F65" s="10" t="n">
        <v>1656</v>
      </c>
      <c r="G65" s="10" t="n">
        <v>75</v>
      </c>
      <c r="H65" s="10" t="n">
        <v>1288</v>
      </c>
      <c r="I65" s="10" t="n">
        <v>20884</v>
      </c>
      <c r="J65" s="10" t="n">
        <v>65</v>
      </c>
      <c r="K65" s="10" t="n">
        <v>124200</v>
      </c>
    </row>
    <row r="66" customFormat="false" ht="15.75" hidden="false" customHeight="true" outlineLevel="0" collapsed="false">
      <c r="A66" s="3" t="n">
        <v>46093</v>
      </c>
      <c r="B66" s="4" t="str">
        <f aca="false">TEXT(A66,"MMM YYYY")</f>
        <v>Mar 2026</v>
      </c>
      <c r="C66" s="5" t="s">
        <v>14</v>
      </c>
      <c r="D66" s="5" t="s">
        <v>19</v>
      </c>
      <c r="E66" s="5" t="s">
        <v>16</v>
      </c>
      <c r="F66" s="6" t="n">
        <v>1656</v>
      </c>
      <c r="G66" s="6" t="n">
        <v>35</v>
      </c>
      <c r="H66" s="6" t="n">
        <v>460</v>
      </c>
      <c r="I66" s="6" t="n">
        <v>6624</v>
      </c>
      <c r="J66" s="6" t="n">
        <v>32</v>
      </c>
      <c r="K66" s="6" t="n">
        <v>57960</v>
      </c>
    </row>
    <row r="67" customFormat="false" ht="15.75" hidden="false" customHeight="true" outlineLevel="0" collapsed="false">
      <c r="A67" s="7" t="n">
        <v>46093</v>
      </c>
      <c r="B67" s="8" t="str">
        <f aca="false">TEXT(A67,"MMM YYYY")</f>
        <v>Mar 2026</v>
      </c>
      <c r="C67" s="9" t="s">
        <v>14</v>
      </c>
      <c r="D67" s="9" t="s">
        <v>12</v>
      </c>
      <c r="E67" s="9" t="s">
        <v>16</v>
      </c>
      <c r="F67" s="10" t="n">
        <v>460</v>
      </c>
      <c r="G67" s="10" t="n">
        <v>75</v>
      </c>
      <c r="H67" s="10" t="n">
        <v>736</v>
      </c>
      <c r="I67" s="10" t="n">
        <v>3864</v>
      </c>
      <c r="J67" s="10" t="n">
        <v>56</v>
      </c>
      <c r="K67" s="10" t="n">
        <v>34500</v>
      </c>
    </row>
    <row r="68" customFormat="false" ht="15.75" hidden="false" customHeight="true" outlineLevel="0" collapsed="false">
      <c r="A68" s="3" t="n">
        <v>46093</v>
      </c>
      <c r="B68" s="4" t="str">
        <f aca="false">TEXT(A68,"MMM YYYY")</f>
        <v>Mar 2026</v>
      </c>
      <c r="C68" s="5" t="s">
        <v>17</v>
      </c>
      <c r="D68" s="5" t="s">
        <v>18</v>
      </c>
      <c r="E68" s="5" t="s">
        <v>20</v>
      </c>
      <c r="F68" s="6" t="n">
        <v>920</v>
      </c>
      <c r="G68" s="6" t="n">
        <v>100</v>
      </c>
      <c r="H68" s="6" t="n">
        <v>460</v>
      </c>
      <c r="I68" s="6" t="n">
        <v>12604</v>
      </c>
      <c r="J68" s="6" t="n">
        <v>90</v>
      </c>
      <c r="K68" s="6" t="n">
        <v>92000</v>
      </c>
    </row>
    <row r="69" customFormat="false" ht="15.75" hidden="false" customHeight="true" outlineLevel="0" collapsed="false">
      <c r="A69" s="7" t="n">
        <v>46093</v>
      </c>
      <c r="B69" s="8" t="str">
        <f aca="false">TEXT(A69,"MMM YYYY")</f>
        <v>Mar 2026</v>
      </c>
      <c r="C69" s="9" t="s">
        <v>17</v>
      </c>
      <c r="D69" s="9" t="s">
        <v>19</v>
      </c>
      <c r="E69" s="9" t="s">
        <v>20</v>
      </c>
      <c r="F69" s="10" t="n">
        <v>184</v>
      </c>
      <c r="G69" s="10" t="n">
        <v>50</v>
      </c>
      <c r="H69" s="10" t="n">
        <v>460</v>
      </c>
      <c r="I69" s="10" t="n">
        <v>6624</v>
      </c>
      <c r="J69" s="10" t="n">
        <v>32</v>
      </c>
      <c r="K69" s="10" t="n">
        <v>9200</v>
      </c>
    </row>
    <row r="70" customFormat="false" ht="15.75" hidden="false" customHeight="true" outlineLevel="0" collapsed="false">
      <c r="A70" s="3" t="n">
        <v>46093</v>
      </c>
      <c r="B70" s="4" t="str">
        <f aca="false">TEXT(A70,"MMM YYYY")</f>
        <v>Mar 2026</v>
      </c>
      <c r="C70" s="5" t="s">
        <v>17</v>
      </c>
      <c r="D70" s="5" t="s">
        <v>21</v>
      </c>
      <c r="E70" s="5" t="s">
        <v>20</v>
      </c>
      <c r="F70" s="6" t="n">
        <v>1012</v>
      </c>
      <c r="G70" s="6" t="n">
        <v>35</v>
      </c>
      <c r="H70" s="6" t="n">
        <v>1104</v>
      </c>
      <c r="I70" s="6" t="n">
        <v>44712</v>
      </c>
      <c r="J70" s="6" t="n">
        <v>40</v>
      </c>
      <c r="K70" s="6" t="n">
        <v>35420</v>
      </c>
    </row>
    <row r="71" customFormat="false" ht="15.75" hidden="false" customHeight="true" outlineLevel="0" collapsed="false">
      <c r="A71" s="7" t="n">
        <v>46093</v>
      </c>
      <c r="B71" s="8" t="str">
        <f aca="false">TEXT(A71,"MMM YYYY")</f>
        <v>Mar 2026</v>
      </c>
      <c r="C71" s="9" t="s">
        <v>17</v>
      </c>
      <c r="D71" s="9" t="s">
        <v>15</v>
      </c>
      <c r="E71" s="9" t="s">
        <v>20</v>
      </c>
      <c r="F71" s="10" t="n">
        <v>828</v>
      </c>
      <c r="G71" s="10" t="n">
        <v>75</v>
      </c>
      <c r="H71" s="10" t="n">
        <v>1288</v>
      </c>
      <c r="I71" s="10" t="n">
        <v>20884</v>
      </c>
      <c r="J71" s="10" t="n">
        <v>65</v>
      </c>
      <c r="K71" s="10" t="n">
        <v>62100</v>
      </c>
    </row>
    <row r="72" customFormat="false" ht="15.75" hidden="false" customHeight="true" outlineLevel="0" collapsed="false">
      <c r="A72" s="3" t="n">
        <v>46094</v>
      </c>
      <c r="B72" s="4" t="str">
        <f aca="false">TEXT(A72,"MMM YYYY")</f>
        <v>Mar 2026</v>
      </c>
      <c r="C72" s="5" t="s">
        <v>11</v>
      </c>
      <c r="D72" s="5" t="s">
        <v>18</v>
      </c>
      <c r="E72" s="5" t="s">
        <v>20</v>
      </c>
      <c r="F72" s="6" t="n">
        <v>276</v>
      </c>
      <c r="G72" s="6" t="n">
        <v>50</v>
      </c>
      <c r="H72" s="6" t="n">
        <v>1104</v>
      </c>
      <c r="I72" s="6" t="n">
        <v>9384</v>
      </c>
      <c r="J72" s="6" t="n">
        <v>88</v>
      </c>
      <c r="K72" s="6" t="n">
        <v>13800</v>
      </c>
    </row>
    <row r="73" customFormat="false" ht="15.75" hidden="false" customHeight="true" outlineLevel="0" collapsed="false">
      <c r="A73" s="7" t="n">
        <v>46094</v>
      </c>
      <c r="B73" s="8" t="str">
        <f aca="false">TEXT(A73,"MMM YYYY")</f>
        <v>Mar 2026</v>
      </c>
      <c r="C73" s="9" t="s">
        <v>11</v>
      </c>
      <c r="D73" s="9" t="s">
        <v>19</v>
      </c>
      <c r="E73" s="9" t="s">
        <v>20</v>
      </c>
      <c r="F73" s="10" t="n">
        <v>460</v>
      </c>
      <c r="G73" s="10" t="n">
        <v>25</v>
      </c>
      <c r="H73" s="10" t="n">
        <v>460</v>
      </c>
      <c r="I73" s="10" t="n">
        <v>4416</v>
      </c>
      <c r="J73" s="10" t="n">
        <v>16</v>
      </c>
      <c r="K73" s="10" t="n">
        <v>11500</v>
      </c>
    </row>
    <row r="74" customFormat="false" ht="15.75" hidden="false" customHeight="true" outlineLevel="0" collapsed="false">
      <c r="A74" s="3" t="n">
        <v>46094</v>
      </c>
      <c r="B74" s="4" t="str">
        <f aca="false">TEXT(A74,"MMM YYYY")</f>
        <v>Mar 2026</v>
      </c>
      <c r="C74" s="5" t="s">
        <v>14</v>
      </c>
      <c r="D74" s="5" t="s">
        <v>19</v>
      </c>
      <c r="E74" s="5" t="s">
        <v>16</v>
      </c>
      <c r="F74" s="6" t="n">
        <v>368</v>
      </c>
      <c r="G74" s="6" t="n">
        <v>100</v>
      </c>
      <c r="H74" s="6" t="n">
        <v>460</v>
      </c>
      <c r="I74" s="6" t="n">
        <v>4416</v>
      </c>
      <c r="J74" s="6" t="n">
        <v>16</v>
      </c>
      <c r="K74" s="6" t="n">
        <v>36800</v>
      </c>
    </row>
    <row r="75" customFormat="false" ht="15.75" hidden="false" customHeight="true" outlineLevel="0" collapsed="false">
      <c r="A75" s="7" t="n">
        <v>46094</v>
      </c>
      <c r="B75" s="8" t="str">
        <f aca="false">TEXT(A75,"MMM YYYY")</f>
        <v>Mar 2026</v>
      </c>
      <c r="C75" s="9" t="s">
        <v>14</v>
      </c>
      <c r="D75" s="9" t="s">
        <v>12</v>
      </c>
      <c r="E75" s="9" t="s">
        <v>16</v>
      </c>
      <c r="F75" s="10" t="n">
        <v>184</v>
      </c>
      <c r="G75" s="10" t="n">
        <v>100</v>
      </c>
      <c r="H75" s="10" t="n">
        <v>920</v>
      </c>
      <c r="I75" s="10" t="n">
        <v>12512</v>
      </c>
      <c r="J75" s="10" t="n">
        <v>46</v>
      </c>
      <c r="K75" s="10" t="n">
        <v>18400</v>
      </c>
    </row>
    <row r="76" customFormat="false" ht="15.75" hidden="false" customHeight="true" outlineLevel="0" collapsed="false">
      <c r="A76" s="3" t="n">
        <v>46094</v>
      </c>
      <c r="B76" s="4" t="str">
        <f aca="false">TEXT(A76,"MMM YYYY")</f>
        <v>Mar 2026</v>
      </c>
      <c r="C76" s="5" t="s">
        <v>17</v>
      </c>
      <c r="D76" s="5" t="s">
        <v>21</v>
      </c>
      <c r="E76" s="5" t="s">
        <v>20</v>
      </c>
      <c r="F76" s="6" t="n">
        <v>1288</v>
      </c>
      <c r="G76" s="6" t="n">
        <v>35</v>
      </c>
      <c r="H76" s="6" t="n">
        <v>1380</v>
      </c>
      <c r="I76" s="6" t="n">
        <v>43700</v>
      </c>
      <c r="J76" s="6" t="n">
        <v>45</v>
      </c>
      <c r="K76" s="6" t="n">
        <v>45080</v>
      </c>
    </row>
    <row r="77" customFormat="false" ht="15.75" hidden="false" customHeight="true" outlineLevel="0" collapsed="false">
      <c r="A77" s="7" t="n">
        <v>46094</v>
      </c>
      <c r="B77" s="8" t="str">
        <f aca="false">TEXT(A77,"MMM YYYY")</f>
        <v>Mar 2026</v>
      </c>
      <c r="C77" s="9" t="s">
        <v>17</v>
      </c>
      <c r="D77" s="9" t="s">
        <v>12</v>
      </c>
      <c r="E77" s="9" t="s">
        <v>16</v>
      </c>
      <c r="F77" s="10" t="n">
        <v>276</v>
      </c>
      <c r="G77" s="10" t="n">
        <v>75</v>
      </c>
      <c r="H77" s="10" t="n">
        <v>920</v>
      </c>
      <c r="I77" s="10" t="n">
        <v>12512</v>
      </c>
      <c r="J77" s="10" t="n">
        <v>46</v>
      </c>
      <c r="K77" s="10" t="n">
        <v>20700</v>
      </c>
    </row>
    <row r="78" customFormat="false" ht="15.75" hidden="false" customHeight="true" outlineLevel="0" collapsed="false">
      <c r="A78" s="3" t="n">
        <v>46095</v>
      </c>
      <c r="B78" s="4" t="str">
        <f aca="false">TEXT(A78,"MMM YYYY")</f>
        <v>Mar 2026</v>
      </c>
      <c r="C78" s="5" t="s">
        <v>11</v>
      </c>
      <c r="D78" s="5" t="s">
        <v>18</v>
      </c>
      <c r="E78" s="5" t="s">
        <v>16</v>
      </c>
      <c r="F78" s="6" t="n">
        <v>1380</v>
      </c>
      <c r="G78" s="6" t="n">
        <v>50</v>
      </c>
      <c r="H78" s="6" t="n">
        <v>460</v>
      </c>
      <c r="I78" s="6" t="n">
        <v>16376</v>
      </c>
      <c r="J78" s="6" t="n">
        <v>79</v>
      </c>
      <c r="K78" s="6" t="n">
        <v>69000</v>
      </c>
    </row>
    <row r="79" customFormat="false" ht="15.75" hidden="false" customHeight="true" outlineLevel="0" collapsed="false">
      <c r="A79" s="7" t="n">
        <v>46095</v>
      </c>
      <c r="B79" s="8" t="str">
        <f aca="false">TEXT(A79,"MMM YYYY")</f>
        <v>Mar 2026</v>
      </c>
      <c r="C79" s="9" t="s">
        <v>11</v>
      </c>
      <c r="D79" s="9" t="s">
        <v>19</v>
      </c>
      <c r="E79" s="9" t="s">
        <v>16</v>
      </c>
      <c r="F79" s="10" t="n">
        <v>828</v>
      </c>
      <c r="G79" s="10" t="n">
        <v>25</v>
      </c>
      <c r="H79" s="10" t="n">
        <v>1196</v>
      </c>
      <c r="I79" s="10" t="n">
        <v>6992</v>
      </c>
      <c r="J79" s="10" t="n">
        <v>17</v>
      </c>
      <c r="K79" s="10" t="n">
        <v>20700</v>
      </c>
    </row>
    <row r="80" customFormat="false" ht="15.75" hidden="false" customHeight="true" outlineLevel="0" collapsed="false">
      <c r="A80" s="3" t="n">
        <v>46095</v>
      </c>
      <c r="B80" s="4" t="str">
        <f aca="false">TEXT(A80,"MMM YYYY")</f>
        <v>Mar 2026</v>
      </c>
      <c r="C80" s="5" t="s">
        <v>11</v>
      </c>
      <c r="D80" s="5" t="s">
        <v>21</v>
      </c>
      <c r="E80" s="5" t="s">
        <v>16</v>
      </c>
      <c r="F80" s="6" t="n">
        <v>1748</v>
      </c>
      <c r="G80" s="6" t="n">
        <v>35</v>
      </c>
      <c r="H80" s="6" t="n">
        <v>828</v>
      </c>
      <c r="I80" s="6" t="n">
        <v>3496</v>
      </c>
      <c r="J80" s="6" t="n">
        <v>37</v>
      </c>
      <c r="K80" s="6" t="n">
        <v>61180</v>
      </c>
    </row>
    <row r="81" customFormat="false" ht="15.75" hidden="false" customHeight="true" outlineLevel="0" collapsed="false">
      <c r="A81" s="7" t="n">
        <v>46095</v>
      </c>
      <c r="B81" s="8" t="str">
        <f aca="false">TEXT(A81,"MMM YYYY")</f>
        <v>Mar 2026</v>
      </c>
      <c r="C81" s="9" t="s">
        <v>14</v>
      </c>
      <c r="D81" s="9" t="s">
        <v>15</v>
      </c>
      <c r="E81" s="9" t="s">
        <v>20</v>
      </c>
      <c r="F81" s="10" t="n">
        <v>828</v>
      </c>
      <c r="G81" s="10" t="n">
        <v>75</v>
      </c>
      <c r="H81" s="10" t="n">
        <v>368</v>
      </c>
      <c r="I81" s="10" t="n">
        <v>17848</v>
      </c>
      <c r="J81" s="10" t="n">
        <v>74</v>
      </c>
      <c r="K81" s="10" t="n">
        <v>62100</v>
      </c>
    </row>
    <row r="82" customFormat="false" ht="15.75" hidden="false" customHeight="true" outlineLevel="0" collapsed="false">
      <c r="A82" s="3" t="n">
        <v>46095</v>
      </c>
      <c r="B82" s="4" t="str">
        <f aca="false">TEXT(A82,"MMM YYYY")</f>
        <v>Mar 2026</v>
      </c>
      <c r="C82" s="5" t="s">
        <v>17</v>
      </c>
      <c r="D82" s="5" t="s">
        <v>19</v>
      </c>
      <c r="E82" s="5" t="s">
        <v>16</v>
      </c>
      <c r="F82" s="6" t="n">
        <v>276</v>
      </c>
      <c r="G82" s="6" t="n">
        <v>100</v>
      </c>
      <c r="H82" s="6" t="n">
        <v>1196</v>
      </c>
      <c r="I82" s="6" t="n">
        <v>6992</v>
      </c>
      <c r="J82" s="6" t="n">
        <v>17</v>
      </c>
      <c r="K82" s="6" t="n">
        <v>27600</v>
      </c>
    </row>
    <row r="83" customFormat="false" ht="15.75" hidden="false" customHeight="true" outlineLevel="0" collapsed="false">
      <c r="A83" s="7" t="n">
        <v>46096</v>
      </c>
      <c r="B83" s="8" t="str">
        <f aca="false">TEXT(A83,"MMM YYYY")</f>
        <v>Mar 2026</v>
      </c>
      <c r="C83" s="9" t="s">
        <v>11</v>
      </c>
      <c r="D83" s="9" t="s">
        <v>15</v>
      </c>
      <c r="E83" s="9" t="s">
        <v>13</v>
      </c>
      <c r="F83" s="10" t="n">
        <v>368</v>
      </c>
      <c r="G83" s="10" t="n">
        <v>25</v>
      </c>
      <c r="H83" s="10" t="n">
        <v>1380</v>
      </c>
      <c r="I83" s="10" t="n">
        <v>39560</v>
      </c>
      <c r="J83" s="10" t="n">
        <v>72</v>
      </c>
      <c r="K83" s="10" t="n">
        <v>9200</v>
      </c>
    </row>
    <row r="84" customFormat="false" ht="15.75" hidden="false" customHeight="true" outlineLevel="0" collapsed="false">
      <c r="A84" s="3" t="n">
        <v>46096</v>
      </c>
      <c r="B84" s="4" t="str">
        <f aca="false">TEXT(A84,"MMM YYYY")</f>
        <v>Mar 2026</v>
      </c>
      <c r="C84" s="5" t="s">
        <v>17</v>
      </c>
      <c r="D84" s="5" t="s">
        <v>21</v>
      </c>
      <c r="E84" s="5" t="s">
        <v>20</v>
      </c>
      <c r="F84" s="6" t="n">
        <v>1472</v>
      </c>
      <c r="G84" s="6" t="n">
        <v>50</v>
      </c>
      <c r="H84" s="6" t="n">
        <v>368</v>
      </c>
      <c r="I84" s="6" t="n">
        <v>13892</v>
      </c>
      <c r="J84" s="6" t="n">
        <v>30</v>
      </c>
      <c r="K84" s="6" t="n">
        <v>73600</v>
      </c>
    </row>
    <row r="85" customFormat="false" ht="15.75" hidden="false" customHeight="true" outlineLevel="0" collapsed="false">
      <c r="A85" s="7" t="n">
        <v>46096</v>
      </c>
      <c r="B85" s="8" t="str">
        <f aca="false">TEXT(A85,"MMM YYYY")</f>
        <v>Mar 2026</v>
      </c>
      <c r="C85" s="9" t="s">
        <v>17</v>
      </c>
      <c r="D85" s="9" t="s">
        <v>12</v>
      </c>
      <c r="E85" s="9" t="s">
        <v>16</v>
      </c>
      <c r="F85" s="10" t="n">
        <v>1196</v>
      </c>
      <c r="G85" s="10" t="n">
        <v>50</v>
      </c>
      <c r="H85" s="10" t="n">
        <v>1472</v>
      </c>
      <c r="I85" s="10" t="n">
        <v>43976</v>
      </c>
      <c r="J85" s="10" t="n">
        <v>52</v>
      </c>
      <c r="K85" s="10" t="n">
        <v>59800</v>
      </c>
    </row>
    <row r="86" customFormat="false" ht="15.75" hidden="false" customHeight="true" outlineLevel="0" collapsed="false">
      <c r="A86" s="3" t="n">
        <v>46096</v>
      </c>
      <c r="B86" s="4" t="str">
        <f aca="false">TEXT(A86,"MMM YYYY")</f>
        <v>Mar 2026</v>
      </c>
      <c r="C86" s="5" t="s">
        <v>17</v>
      </c>
      <c r="D86" s="5" t="s">
        <v>15</v>
      </c>
      <c r="E86" s="5" t="s">
        <v>20</v>
      </c>
      <c r="F86" s="6" t="n">
        <v>1196</v>
      </c>
      <c r="G86" s="6" t="n">
        <v>100</v>
      </c>
      <c r="H86" s="6" t="n">
        <v>1380</v>
      </c>
      <c r="I86" s="6" t="n">
        <v>39560</v>
      </c>
      <c r="J86" s="6" t="n">
        <v>72</v>
      </c>
      <c r="K86" s="6" t="n">
        <v>119600</v>
      </c>
    </row>
    <row r="87" customFormat="false" ht="15.75" hidden="false" customHeight="true" outlineLevel="0" collapsed="false">
      <c r="A87" s="7" t="n">
        <v>46096</v>
      </c>
      <c r="B87" s="8" t="str">
        <f aca="false">TEXT(A87,"MMM YYYY")</f>
        <v>Mar 2026</v>
      </c>
      <c r="C87" s="9" t="s">
        <v>17</v>
      </c>
      <c r="D87" s="9" t="s">
        <v>15</v>
      </c>
      <c r="E87" s="9" t="s">
        <v>16</v>
      </c>
      <c r="F87" s="10" t="n">
        <v>644</v>
      </c>
      <c r="G87" s="10" t="n">
        <v>100</v>
      </c>
      <c r="H87" s="10" t="n">
        <v>1380</v>
      </c>
      <c r="I87" s="10" t="n">
        <v>39560</v>
      </c>
      <c r="J87" s="10" t="n">
        <v>72</v>
      </c>
      <c r="K87" s="10" t="n">
        <v>64400</v>
      </c>
    </row>
    <row r="88" customFormat="false" ht="15.75" hidden="false" customHeight="true" outlineLevel="0" collapsed="false">
      <c r="A88" s="3" t="n">
        <v>46097</v>
      </c>
      <c r="B88" s="4" t="str">
        <f aca="false">TEXT(A88,"MMM YYYY")</f>
        <v>Mar 2026</v>
      </c>
      <c r="C88" s="5" t="s">
        <v>14</v>
      </c>
      <c r="D88" s="5" t="s">
        <v>19</v>
      </c>
      <c r="E88" s="5" t="s">
        <v>20</v>
      </c>
      <c r="F88" s="6" t="n">
        <v>1104</v>
      </c>
      <c r="G88" s="6" t="n">
        <v>25</v>
      </c>
      <c r="H88" s="6" t="n">
        <v>1104</v>
      </c>
      <c r="I88" s="6" t="n">
        <v>9384</v>
      </c>
      <c r="J88" s="6" t="n">
        <v>20</v>
      </c>
      <c r="K88" s="6" t="n">
        <v>27600</v>
      </c>
    </row>
    <row r="89" customFormat="false" ht="15.75" hidden="false" customHeight="true" outlineLevel="0" collapsed="false">
      <c r="A89" s="7" t="n">
        <v>46097</v>
      </c>
      <c r="B89" s="8" t="str">
        <f aca="false">TEXT(A89,"MMM YYYY")</f>
        <v>Mar 2026</v>
      </c>
      <c r="C89" s="9" t="s">
        <v>17</v>
      </c>
      <c r="D89" s="9" t="s">
        <v>21</v>
      </c>
      <c r="E89" s="9" t="s">
        <v>16</v>
      </c>
      <c r="F89" s="10" t="n">
        <v>276</v>
      </c>
      <c r="G89" s="10" t="n">
        <v>35</v>
      </c>
      <c r="H89" s="10" t="n">
        <v>460</v>
      </c>
      <c r="I89" s="10" t="n">
        <v>9936</v>
      </c>
      <c r="J89" s="10" t="n">
        <v>31</v>
      </c>
      <c r="K89" s="10" t="n">
        <v>9660</v>
      </c>
    </row>
    <row r="90" customFormat="false" ht="15.75" hidden="false" customHeight="true" outlineLevel="0" collapsed="false">
      <c r="A90" s="3" t="n">
        <v>46097</v>
      </c>
      <c r="B90" s="4" t="str">
        <f aca="false">TEXT(A90,"MMM YYYY")</f>
        <v>Mar 2026</v>
      </c>
      <c r="C90" s="5" t="s">
        <v>17</v>
      </c>
      <c r="D90" s="5" t="s">
        <v>15</v>
      </c>
      <c r="E90" s="5" t="s">
        <v>20</v>
      </c>
      <c r="F90" s="6" t="n">
        <v>1104</v>
      </c>
      <c r="G90" s="6" t="n">
        <v>62.5</v>
      </c>
      <c r="H90" s="6" t="n">
        <v>2760</v>
      </c>
      <c r="I90" s="6" t="n">
        <v>70288</v>
      </c>
      <c r="J90" s="6" t="n">
        <v>61</v>
      </c>
      <c r="K90" s="6" t="n">
        <v>75900</v>
      </c>
    </row>
    <row r="91" customFormat="false" ht="15.75" hidden="false" customHeight="true" outlineLevel="0" collapsed="false">
      <c r="A91" s="7" t="n">
        <v>46097</v>
      </c>
      <c r="B91" s="8" t="str">
        <f aca="false">TEXT(A91,"MMM YYYY")</f>
        <v>Mar 2026</v>
      </c>
      <c r="C91" s="9" t="s">
        <v>17</v>
      </c>
      <c r="D91" s="9" t="s">
        <v>15</v>
      </c>
      <c r="E91" s="9" t="s">
        <v>16</v>
      </c>
      <c r="F91" s="10" t="n">
        <v>460</v>
      </c>
      <c r="G91" s="10" t="n">
        <v>100</v>
      </c>
      <c r="H91" s="10" t="n">
        <v>1380</v>
      </c>
      <c r="I91" s="10" t="n">
        <v>35144</v>
      </c>
      <c r="J91" s="10" t="n">
        <v>61</v>
      </c>
      <c r="K91" s="10" t="n">
        <v>46000</v>
      </c>
    </row>
    <row r="92" customFormat="false" ht="15.75" hidden="false" customHeight="true" outlineLevel="0" collapsed="false">
      <c r="A92" s="3" t="n">
        <v>46098</v>
      </c>
      <c r="B92" s="4" t="str">
        <f aca="false">TEXT(A92,"MMM YYYY")</f>
        <v>Mar 2026</v>
      </c>
      <c r="C92" s="5" t="s">
        <v>11</v>
      </c>
      <c r="D92" s="5" t="s">
        <v>21</v>
      </c>
      <c r="E92" s="5" t="s">
        <v>20</v>
      </c>
      <c r="F92" s="6" t="n">
        <v>736</v>
      </c>
      <c r="G92" s="6" t="n">
        <v>100</v>
      </c>
      <c r="H92" s="6" t="n">
        <v>460</v>
      </c>
      <c r="I92" s="6" t="n">
        <v>9568</v>
      </c>
      <c r="J92" s="6" t="n">
        <v>27</v>
      </c>
      <c r="K92" s="6" t="n">
        <v>73600</v>
      </c>
    </row>
    <row r="93" customFormat="false" ht="15.75" hidden="false" customHeight="true" outlineLevel="0" collapsed="false">
      <c r="A93" s="7" t="n">
        <v>46098</v>
      </c>
      <c r="B93" s="8" t="str">
        <f aca="false">TEXT(A93,"MMM YYYY")</f>
        <v>Mar 2026</v>
      </c>
      <c r="C93" s="9" t="s">
        <v>11</v>
      </c>
      <c r="D93" s="9" t="s">
        <v>12</v>
      </c>
      <c r="E93" s="9" t="s">
        <v>20</v>
      </c>
      <c r="F93" s="10" t="n">
        <v>460</v>
      </c>
      <c r="G93" s="10" t="n">
        <v>25</v>
      </c>
      <c r="H93" s="10" t="n">
        <v>1196</v>
      </c>
      <c r="I93" s="10" t="n">
        <v>7820</v>
      </c>
      <c r="J93" s="10" t="n">
        <v>57</v>
      </c>
      <c r="K93" s="10" t="n">
        <v>11500</v>
      </c>
    </row>
    <row r="94" customFormat="false" ht="15.75" hidden="false" customHeight="true" outlineLevel="0" collapsed="false">
      <c r="A94" s="3" t="n">
        <v>46098</v>
      </c>
      <c r="B94" s="4" t="str">
        <f aca="false">TEXT(A94,"MMM YYYY")</f>
        <v>Mar 2026</v>
      </c>
      <c r="C94" s="5" t="s">
        <v>17</v>
      </c>
      <c r="D94" s="5" t="s">
        <v>18</v>
      </c>
      <c r="E94" s="5" t="s">
        <v>16</v>
      </c>
      <c r="F94" s="6" t="n">
        <v>1656</v>
      </c>
      <c r="G94" s="6" t="n">
        <v>75</v>
      </c>
      <c r="H94" s="6" t="n">
        <v>644</v>
      </c>
      <c r="I94" s="6" t="n">
        <v>17664</v>
      </c>
      <c r="J94" s="6" t="n">
        <v>85</v>
      </c>
      <c r="K94" s="6" t="n">
        <v>124200</v>
      </c>
    </row>
    <row r="95" customFormat="false" ht="15.75" hidden="false" customHeight="true" outlineLevel="0" collapsed="false">
      <c r="A95" s="7" t="n">
        <v>46098</v>
      </c>
      <c r="B95" s="8" t="str">
        <f aca="false">TEXT(A95,"MMM YYYY")</f>
        <v>Mar 2026</v>
      </c>
      <c r="C95" s="9" t="s">
        <v>17</v>
      </c>
      <c r="D95" s="9" t="s">
        <v>19</v>
      </c>
      <c r="E95" s="9" t="s">
        <v>20</v>
      </c>
      <c r="F95" s="10" t="n">
        <v>1564</v>
      </c>
      <c r="G95" s="10" t="n">
        <v>62.5</v>
      </c>
      <c r="H95" s="10" t="n">
        <v>1288</v>
      </c>
      <c r="I95" s="10" t="n">
        <v>14904</v>
      </c>
      <c r="J95" s="10" t="n">
        <v>24</v>
      </c>
      <c r="K95" s="10" t="n">
        <v>101200</v>
      </c>
    </row>
    <row r="96" customFormat="false" ht="15.75" hidden="false" customHeight="true" outlineLevel="0" collapsed="false">
      <c r="A96" s="3" t="n">
        <v>46098</v>
      </c>
      <c r="B96" s="4" t="str">
        <f aca="false">TEXT(A96,"MMM YYYY")</f>
        <v>Mar 2026</v>
      </c>
      <c r="C96" s="5" t="s">
        <v>17</v>
      </c>
      <c r="D96" s="5" t="s">
        <v>12</v>
      </c>
      <c r="E96" s="5" t="s">
        <v>16</v>
      </c>
      <c r="F96" s="6" t="n">
        <v>736</v>
      </c>
      <c r="G96" s="6" t="n">
        <v>75</v>
      </c>
      <c r="H96" s="6" t="n">
        <v>1196</v>
      </c>
      <c r="I96" s="6" t="n">
        <v>7820</v>
      </c>
      <c r="J96" s="6" t="n">
        <v>57</v>
      </c>
      <c r="K96" s="6" t="n">
        <v>55200</v>
      </c>
    </row>
    <row r="97" customFormat="false" ht="15.75" hidden="false" customHeight="true" outlineLevel="0" collapsed="false">
      <c r="A97" s="7" t="n">
        <v>46099</v>
      </c>
      <c r="B97" s="8" t="str">
        <f aca="false">TEXT(A97,"MMM YYYY")</f>
        <v>Mar 2026</v>
      </c>
      <c r="C97" s="9" t="s">
        <v>11</v>
      </c>
      <c r="D97" s="9" t="s">
        <v>19</v>
      </c>
      <c r="E97" s="9" t="s">
        <v>13</v>
      </c>
      <c r="F97" s="10" t="n">
        <v>2576</v>
      </c>
      <c r="G97" s="10" t="n">
        <v>62.5</v>
      </c>
      <c r="H97" s="10" t="n">
        <v>1840</v>
      </c>
      <c r="I97" s="10" t="n">
        <v>31464</v>
      </c>
      <c r="J97" s="10" t="n">
        <v>26</v>
      </c>
      <c r="K97" s="10" t="n">
        <v>174800</v>
      </c>
    </row>
    <row r="98" customFormat="false" ht="15.75" hidden="false" customHeight="true" outlineLevel="0" collapsed="false">
      <c r="A98" s="3" t="n">
        <v>46099</v>
      </c>
      <c r="B98" s="4" t="str">
        <f aca="false">TEXT(A98,"MMM YYYY")</f>
        <v>Mar 2026</v>
      </c>
      <c r="C98" s="5" t="s">
        <v>11</v>
      </c>
      <c r="D98" s="5" t="s">
        <v>21</v>
      </c>
      <c r="E98" s="5" t="s">
        <v>13</v>
      </c>
      <c r="F98" s="6" t="n">
        <v>1380</v>
      </c>
      <c r="G98" s="6" t="n">
        <v>75</v>
      </c>
      <c r="H98" s="6" t="n">
        <v>828</v>
      </c>
      <c r="I98" s="6" t="n">
        <v>40756</v>
      </c>
      <c r="J98" s="6" t="n">
        <v>35</v>
      </c>
      <c r="K98" s="6" t="n">
        <v>103500</v>
      </c>
    </row>
    <row r="99" customFormat="false" ht="15.75" hidden="false" customHeight="true" outlineLevel="0" collapsed="false">
      <c r="A99" s="7" t="n">
        <v>46099</v>
      </c>
      <c r="B99" s="8" t="str">
        <f aca="false">TEXT(A99,"MMM YYYY")</f>
        <v>Mar 2026</v>
      </c>
      <c r="C99" s="9" t="s">
        <v>14</v>
      </c>
      <c r="D99" s="9" t="s">
        <v>18</v>
      </c>
      <c r="E99" s="9" t="s">
        <v>13</v>
      </c>
      <c r="F99" s="10" t="n">
        <v>276</v>
      </c>
      <c r="G99" s="10" t="n">
        <v>35</v>
      </c>
      <c r="H99" s="10" t="n">
        <v>828</v>
      </c>
      <c r="I99" s="10" t="n">
        <v>44068</v>
      </c>
      <c r="J99" s="10" t="n">
        <v>85</v>
      </c>
      <c r="K99" s="10" t="n">
        <v>9660</v>
      </c>
    </row>
    <row r="100" customFormat="false" ht="15.75" hidden="false" customHeight="true" outlineLevel="0" collapsed="false">
      <c r="A100" s="3" t="n">
        <v>46100</v>
      </c>
      <c r="B100" s="4" t="str">
        <f aca="false">TEXT(A100,"MMM YYYY")</f>
        <v>Mar 2026</v>
      </c>
      <c r="C100" s="5" t="s">
        <v>14</v>
      </c>
      <c r="D100" s="5" t="s">
        <v>18</v>
      </c>
      <c r="E100" s="5" t="s">
        <v>20</v>
      </c>
      <c r="F100" s="6" t="n">
        <v>1012</v>
      </c>
      <c r="G100" s="6" t="n">
        <v>35</v>
      </c>
      <c r="H100" s="6" t="n">
        <v>1288</v>
      </c>
      <c r="I100" s="6" t="n">
        <v>5612</v>
      </c>
      <c r="J100" s="6" t="n">
        <v>88</v>
      </c>
      <c r="K100" s="6" t="n">
        <v>35420</v>
      </c>
    </row>
    <row r="101" customFormat="false" ht="15.75" hidden="false" customHeight="true" outlineLevel="0" collapsed="false">
      <c r="A101" s="7" t="n">
        <v>46100</v>
      </c>
      <c r="B101" s="8" t="str">
        <f aca="false">TEXT(A101,"MMM YYYY")</f>
        <v>Mar 2026</v>
      </c>
      <c r="C101" s="9" t="s">
        <v>14</v>
      </c>
      <c r="D101" s="9" t="s">
        <v>21</v>
      </c>
      <c r="E101" s="9" t="s">
        <v>16</v>
      </c>
      <c r="F101" s="10" t="n">
        <v>1656</v>
      </c>
      <c r="G101" s="10" t="n">
        <v>50</v>
      </c>
      <c r="H101" s="10" t="n">
        <v>1288</v>
      </c>
      <c r="I101" s="10" t="n">
        <v>59892</v>
      </c>
      <c r="J101" s="10" t="n">
        <v>27</v>
      </c>
      <c r="K101" s="10" t="n">
        <v>82800</v>
      </c>
    </row>
    <row r="102" customFormat="false" ht="15.75" hidden="false" customHeight="true" outlineLevel="0" collapsed="false">
      <c r="A102" s="3" t="n">
        <v>46100</v>
      </c>
      <c r="B102" s="4" t="str">
        <f aca="false">TEXT(A102,"MMM YYYY")</f>
        <v>Mar 2026</v>
      </c>
      <c r="C102" s="5" t="s">
        <v>17</v>
      </c>
      <c r="D102" s="5" t="s">
        <v>21</v>
      </c>
      <c r="E102" s="5" t="s">
        <v>20</v>
      </c>
      <c r="F102" s="6" t="n">
        <v>920</v>
      </c>
      <c r="G102" s="6" t="n">
        <v>37.5</v>
      </c>
      <c r="H102" s="6" t="n">
        <v>2576</v>
      </c>
      <c r="I102" s="6" t="n">
        <v>119784</v>
      </c>
      <c r="J102" s="6" t="n">
        <v>27</v>
      </c>
      <c r="K102" s="6" t="n">
        <v>25300</v>
      </c>
    </row>
    <row r="103" customFormat="false" ht="15.75" hidden="false" customHeight="true" outlineLevel="0" collapsed="false">
      <c r="A103" s="7" t="n">
        <v>46100</v>
      </c>
      <c r="B103" s="8" t="str">
        <f aca="false">TEXT(A103,"MMM YYYY")</f>
        <v>Mar 2026</v>
      </c>
      <c r="C103" s="9" t="s">
        <v>17</v>
      </c>
      <c r="D103" s="9" t="s">
        <v>12</v>
      </c>
      <c r="E103" s="9" t="s">
        <v>13</v>
      </c>
      <c r="F103" s="10" t="n">
        <v>1748</v>
      </c>
      <c r="G103" s="10" t="n">
        <v>35</v>
      </c>
      <c r="H103" s="10" t="n">
        <v>1472</v>
      </c>
      <c r="I103" s="10" t="n">
        <v>31464</v>
      </c>
      <c r="J103" s="10" t="n">
        <v>55</v>
      </c>
      <c r="K103" s="10" t="n">
        <v>61180</v>
      </c>
    </row>
    <row r="104" customFormat="false" ht="15.75" hidden="false" customHeight="true" outlineLevel="0" collapsed="false">
      <c r="A104" s="3" t="n">
        <v>46101</v>
      </c>
      <c r="B104" s="4" t="str">
        <f aca="false">TEXT(A104,"MMM YYYY")</f>
        <v>Mar 2026</v>
      </c>
      <c r="C104" s="5" t="s">
        <v>11</v>
      </c>
      <c r="D104" s="5" t="s">
        <v>19</v>
      </c>
      <c r="E104" s="5" t="s">
        <v>20</v>
      </c>
      <c r="F104" s="6" t="n">
        <v>92</v>
      </c>
      <c r="G104" s="6" t="n">
        <v>25</v>
      </c>
      <c r="H104" s="6" t="n">
        <v>1104</v>
      </c>
      <c r="I104" s="6" t="n">
        <v>6992</v>
      </c>
      <c r="J104" s="6" t="n">
        <v>27</v>
      </c>
      <c r="K104" s="6" t="n">
        <v>2300</v>
      </c>
    </row>
    <row r="105" customFormat="false" ht="15.75" hidden="false" customHeight="true" outlineLevel="0" collapsed="false">
      <c r="A105" s="7" t="n">
        <v>46101</v>
      </c>
      <c r="B105" s="8" t="str">
        <f aca="false">TEXT(A105,"MMM YYYY")</f>
        <v>Mar 2026</v>
      </c>
      <c r="C105" s="9" t="s">
        <v>11</v>
      </c>
      <c r="D105" s="9" t="s">
        <v>12</v>
      </c>
      <c r="E105" s="9" t="s">
        <v>16</v>
      </c>
      <c r="F105" s="10" t="n">
        <v>1380</v>
      </c>
      <c r="G105" s="10" t="n">
        <v>25</v>
      </c>
      <c r="H105" s="10" t="n">
        <v>1196</v>
      </c>
      <c r="I105" s="10" t="n">
        <v>22724</v>
      </c>
      <c r="J105" s="10" t="n">
        <v>41</v>
      </c>
      <c r="K105" s="10" t="n">
        <v>34500</v>
      </c>
    </row>
    <row r="106" customFormat="false" ht="15.75" hidden="false" customHeight="true" outlineLevel="0" collapsed="false">
      <c r="A106" s="3" t="n">
        <v>46101</v>
      </c>
      <c r="B106" s="4" t="str">
        <f aca="false">TEXT(A106,"MMM YYYY")</f>
        <v>Mar 2026</v>
      </c>
      <c r="C106" s="5" t="s">
        <v>14</v>
      </c>
      <c r="D106" s="5" t="s">
        <v>18</v>
      </c>
      <c r="E106" s="5" t="s">
        <v>16</v>
      </c>
      <c r="F106" s="6" t="n">
        <v>1564</v>
      </c>
      <c r="G106" s="6" t="n">
        <v>35</v>
      </c>
      <c r="H106" s="6" t="n">
        <v>1288</v>
      </c>
      <c r="I106" s="6" t="n">
        <v>25208</v>
      </c>
      <c r="J106" s="6" t="n">
        <v>89</v>
      </c>
      <c r="K106" s="6" t="n">
        <v>54740</v>
      </c>
    </row>
    <row r="107" customFormat="false" ht="15.75" hidden="false" customHeight="true" outlineLevel="0" collapsed="false">
      <c r="A107" s="7" t="n">
        <v>46101</v>
      </c>
      <c r="B107" s="8" t="str">
        <f aca="false">TEXT(A107,"MMM YYYY")</f>
        <v>Mar 2026</v>
      </c>
      <c r="C107" s="9" t="s">
        <v>17</v>
      </c>
      <c r="D107" s="9" t="s">
        <v>15</v>
      </c>
      <c r="E107" s="9" t="s">
        <v>16</v>
      </c>
      <c r="F107" s="10" t="n">
        <v>1472</v>
      </c>
      <c r="G107" s="10" t="n">
        <v>75</v>
      </c>
      <c r="H107" s="10" t="n">
        <v>644</v>
      </c>
      <c r="I107" s="10" t="n">
        <v>30452</v>
      </c>
      <c r="J107" s="10" t="n">
        <v>64</v>
      </c>
      <c r="K107" s="10" t="n">
        <v>110400</v>
      </c>
    </row>
    <row r="108" customFormat="false" ht="15.75" hidden="false" customHeight="true" outlineLevel="0" collapsed="false">
      <c r="A108" s="3" t="n">
        <v>46102</v>
      </c>
      <c r="B108" s="4" t="str">
        <f aca="false">TEXT(A108,"MMM YYYY")</f>
        <v>Mar 2026</v>
      </c>
      <c r="C108" s="5" t="s">
        <v>11</v>
      </c>
      <c r="D108" s="5" t="s">
        <v>19</v>
      </c>
      <c r="E108" s="5" t="s">
        <v>16</v>
      </c>
      <c r="F108" s="6" t="n">
        <v>1012</v>
      </c>
      <c r="G108" s="6" t="n">
        <v>75</v>
      </c>
      <c r="H108" s="6" t="n">
        <v>644</v>
      </c>
      <c r="I108" s="6" t="n">
        <v>4692</v>
      </c>
      <c r="J108" s="6" t="n">
        <v>21</v>
      </c>
      <c r="K108" s="6" t="n">
        <v>75900</v>
      </c>
    </row>
    <row r="109" customFormat="false" ht="15.75" hidden="false" customHeight="true" outlineLevel="0" collapsed="false">
      <c r="A109" s="7" t="n">
        <v>46102</v>
      </c>
      <c r="B109" s="8" t="str">
        <f aca="false">TEXT(A109,"MMM YYYY")</f>
        <v>Mar 2026</v>
      </c>
      <c r="C109" s="9" t="s">
        <v>11</v>
      </c>
      <c r="D109" s="9" t="s">
        <v>21</v>
      </c>
      <c r="E109" s="9" t="s">
        <v>20</v>
      </c>
      <c r="F109" s="10" t="n">
        <v>368</v>
      </c>
      <c r="G109" s="10" t="n">
        <v>100</v>
      </c>
      <c r="H109" s="10" t="n">
        <v>1196</v>
      </c>
      <c r="I109" s="10" t="n">
        <v>16468</v>
      </c>
      <c r="J109" s="10" t="n">
        <v>40</v>
      </c>
      <c r="K109" s="10" t="n">
        <v>36800</v>
      </c>
    </row>
    <row r="110" customFormat="false" ht="15.75" hidden="false" customHeight="true" outlineLevel="0" collapsed="false">
      <c r="A110" s="3" t="n">
        <v>46102</v>
      </c>
      <c r="B110" s="4" t="str">
        <f aca="false">TEXT(A110,"MMM YYYY")</f>
        <v>Mar 2026</v>
      </c>
      <c r="C110" s="5" t="s">
        <v>11</v>
      </c>
      <c r="D110" s="5" t="s">
        <v>15</v>
      </c>
      <c r="E110" s="5" t="s">
        <v>13</v>
      </c>
      <c r="F110" s="6" t="n">
        <v>1288</v>
      </c>
      <c r="G110" s="6" t="n">
        <v>50</v>
      </c>
      <c r="H110" s="6" t="n">
        <v>1472</v>
      </c>
      <c r="I110" s="6" t="n">
        <v>48668</v>
      </c>
      <c r="J110" s="6" t="n">
        <v>62</v>
      </c>
      <c r="K110" s="6" t="n">
        <v>64400</v>
      </c>
    </row>
    <row r="111" customFormat="false" ht="15.75" hidden="false" customHeight="true" outlineLevel="0" collapsed="false">
      <c r="A111" s="7" t="n">
        <v>46102</v>
      </c>
      <c r="B111" s="8" t="str">
        <f aca="false">TEXT(A111,"MMM YYYY")</f>
        <v>Mar 2026</v>
      </c>
      <c r="C111" s="9" t="s">
        <v>11</v>
      </c>
      <c r="D111" s="9" t="s">
        <v>15</v>
      </c>
      <c r="E111" s="9" t="s">
        <v>16</v>
      </c>
      <c r="F111" s="10" t="n">
        <v>1840</v>
      </c>
      <c r="G111" s="10" t="n">
        <v>100</v>
      </c>
      <c r="H111" s="10" t="n">
        <v>1472</v>
      </c>
      <c r="I111" s="10" t="n">
        <v>48668</v>
      </c>
      <c r="J111" s="10" t="n">
        <v>62</v>
      </c>
      <c r="K111" s="10" t="n">
        <v>184000</v>
      </c>
    </row>
    <row r="112" customFormat="false" ht="15.75" hidden="false" customHeight="true" outlineLevel="0" collapsed="false">
      <c r="A112" s="3" t="n">
        <v>46102</v>
      </c>
      <c r="B112" s="4" t="str">
        <f aca="false">TEXT(A112,"MMM YYYY")</f>
        <v>Mar 2026</v>
      </c>
      <c r="C112" s="5" t="s">
        <v>17</v>
      </c>
      <c r="D112" s="5" t="s">
        <v>18</v>
      </c>
      <c r="E112" s="5" t="s">
        <v>16</v>
      </c>
      <c r="F112" s="6" t="n">
        <v>828</v>
      </c>
      <c r="G112" s="6" t="n">
        <v>100</v>
      </c>
      <c r="H112" s="6" t="n">
        <v>828</v>
      </c>
      <c r="I112" s="6" t="n">
        <v>20976</v>
      </c>
      <c r="J112" s="6" t="n">
        <v>85</v>
      </c>
      <c r="K112" s="6" t="n">
        <v>82800</v>
      </c>
    </row>
    <row r="113" customFormat="false" ht="15.75" hidden="false" customHeight="true" outlineLevel="0" collapsed="false">
      <c r="A113" s="7" t="n">
        <v>46103</v>
      </c>
      <c r="B113" s="8" t="str">
        <f aca="false">TEXT(A113,"MMM YYYY")</f>
        <v>Mar 2026</v>
      </c>
      <c r="C113" s="9" t="s">
        <v>14</v>
      </c>
      <c r="D113" s="9" t="s">
        <v>19</v>
      </c>
      <c r="E113" s="9" t="s">
        <v>16</v>
      </c>
      <c r="F113" s="10" t="n">
        <v>276</v>
      </c>
      <c r="G113" s="10" t="n">
        <v>25</v>
      </c>
      <c r="H113" s="10" t="n">
        <v>1288</v>
      </c>
      <c r="I113" s="10" t="n">
        <v>10028</v>
      </c>
      <c r="J113" s="10" t="n">
        <v>31</v>
      </c>
      <c r="K113" s="10" t="n">
        <v>6900</v>
      </c>
    </row>
    <row r="114" customFormat="false" ht="15.75" hidden="false" customHeight="true" outlineLevel="0" collapsed="false">
      <c r="A114" s="3" t="n">
        <v>46103</v>
      </c>
      <c r="B114" s="4" t="str">
        <f aca="false">TEXT(A114,"MMM YYYY")</f>
        <v>Mar 2026</v>
      </c>
      <c r="C114" s="5" t="s">
        <v>14</v>
      </c>
      <c r="D114" s="5" t="s">
        <v>15</v>
      </c>
      <c r="E114" s="5" t="s">
        <v>16</v>
      </c>
      <c r="F114" s="6" t="n">
        <v>1840</v>
      </c>
      <c r="G114" s="6" t="n">
        <v>50</v>
      </c>
      <c r="H114" s="6" t="n">
        <v>552</v>
      </c>
      <c r="I114" s="6" t="n">
        <v>20424</v>
      </c>
      <c r="J114" s="6" t="n">
        <v>75</v>
      </c>
      <c r="K114" s="6" t="n">
        <v>92000</v>
      </c>
    </row>
    <row r="115" customFormat="false" ht="15.75" hidden="false" customHeight="true" outlineLevel="0" collapsed="false">
      <c r="A115" s="7" t="n">
        <v>46103</v>
      </c>
      <c r="B115" s="8" t="str">
        <f aca="false">TEXT(A115,"MMM YYYY")</f>
        <v>Mar 2026</v>
      </c>
      <c r="C115" s="9" t="s">
        <v>17</v>
      </c>
      <c r="D115" s="9" t="s">
        <v>18</v>
      </c>
      <c r="E115" s="9" t="s">
        <v>16</v>
      </c>
      <c r="F115" s="10" t="n">
        <v>1656</v>
      </c>
      <c r="G115" s="10" t="n">
        <v>25</v>
      </c>
      <c r="H115" s="10" t="n">
        <v>644</v>
      </c>
      <c r="I115" s="10" t="n">
        <v>27048</v>
      </c>
      <c r="J115" s="10" t="n">
        <v>82</v>
      </c>
      <c r="K115" s="10" t="n">
        <v>41400</v>
      </c>
    </row>
    <row r="116" customFormat="false" ht="15.75" hidden="false" customHeight="true" outlineLevel="0" collapsed="false">
      <c r="A116" s="3" t="n">
        <v>46103</v>
      </c>
      <c r="B116" s="4" t="str">
        <f aca="false">TEXT(A116,"MMM YYYY")</f>
        <v>Mar 2026</v>
      </c>
      <c r="C116" s="5" t="s">
        <v>17</v>
      </c>
      <c r="D116" s="5" t="s">
        <v>15</v>
      </c>
      <c r="E116" s="5" t="s">
        <v>20</v>
      </c>
      <c r="F116" s="6" t="n">
        <v>368</v>
      </c>
      <c r="G116" s="6" t="n">
        <v>75</v>
      </c>
      <c r="H116" s="6" t="n">
        <v>552</v>
      </c>
      <c r="I116" s="6" t="n">
        <v>20424</v>
      </c>
      <c r="J116" s="6" t="n">
        <v>75</v>
      </c>
      <c r="K116" s="6" t="n">
        <v>27600</v>
      </c>
    </row>
    <row r="117" customFormat="false" ht="15.75" hidden="false" customHeight="true" outlineLevel="0" collapsed="false">
      <c r="A117" s="7" t="n">
        <v>46104</v>
      </c>
      <c r="B117" s="8" t="str">
        <f aca="false">TEXT(A117,"MMM YYYY")</f>
        <v>Mar 2026</v>
      </c>
      <c r="C117" s="9" t="s">
        <v>11</v>
      </c>
      <c r="D117" s="9" t="s">
        <v>21</v>
      </c>
      <c r="E117" s="9" t="s">
        <v>16</v>
      </c>
      <c r="F117" s="10" t="n">
        <v>828</v>
      </c>
      <c r="G117" s="10" t="n">
        <v>25</v>
      </c>
      <c r="H117" s="10" t="n">
        <v>552</v>
      </c>
      <c r="I117" s="10" t="n">
        <v>23460</v>
      </c>
      <c r="J117" s="10" t="n">
        <v>30</v>
      </c>
      <c r="K117" s="10" t="n">
        <v>20700</v>
      </c>
    </row>
    <row r="118" customFormat="false" ht="15.75" hidden="false" customHeight="true" outlineLevel="0" collapsed="false">
      <c r="A118" s="3" t="n">
        <v>46104</v>
      </c>
      <c r="B118" s="4" t="str">
        <f aca="false">TEXT(A118,"MMM YYYY")</f>
        <v>Mar 2026</v>
      </c>
      <c r="C118" s="5" t="s">
        <v>14</v>
      </c>
      <c r="D118" s="5" t="s">
        <v>18</v>
      </c>
      <c r="E118" s="5" t="s">
        <v>13</v>
      </c>
      <c r="F118" s="6" t="n">
        <v>1012</v>
      </c>
      <c r="G118" s="6" t="n">
        <v>100</v>
      </c>
      <c r="H118" s="6" t="n">
        <v>1472</v>
      </c>
      <c r="I118" s="6" t="n">
        <v>33856</v>
      </c>
      <c r="J118" s="6" t="n">
        <v>73</v>
      </c>
      <c r="K118" s="6" t="n">
        <v>101200</v>
      </c>
    </row>
    <row r="119" customFormat="false" ht="15.75" hidden="false" customHeight="true" outlineLevel="0" collapsed="false">
      <c r="A119" s="7" t="n">
        <v>46104</v>
      </c>
      <c r="B119" s="8" t="str">
        <f aca="false">TEXT(A119,"MMM YYYY")</f>
        <v>Mar 2026</v>
      </c>
      <c r="C119" s="9" t="s">
        <v>14</v>
      </c>
      <c r="D119" s="9" t="s">
        <v>21</v>
      </c>
      <c r="E119" s="9" t="s">
        <v>16</v>
      </c>
      <c r="F119" s="10" t="n">
        <v>1104</v>
      </c>
      <c r="G119" s="10" t="n">
        <v>25</v>
      </c>
      <c r="H119" s="10" t="n">
        <v>552</v>
      </c>
      <c r="I119" s="10" t="n">
        <v>23460</v>
      </c>
      <c r="J119" s="10" t="n">
        <v>30</v>
      </c>
      <c r="K119" s="10" t="n">
        <v>27600</v>
      </c>
    </row>
    <row r="120" customFormat="false" ht="15.75" hidden="false" customHeight="true" outlineLevel="0" collapsed="false">
      <c r="A120" s="3" t="n">
        <v>46104</v>
      </c>
      <c r="B120" s="4" t="str">
        <f aca="false">TEXT(A120,"MMM YYYY")</f>
        <v>Mar 2026</v>
      </c>
      <c r="C120" s="5" t="s">
        <v>14</v>
      </c>
      <c r="D120" s="5" t="s">
        <v>15</v>
      </c>
      <c r="E120" s="5" t="s">
        <v>20</v>
      </c>
      <c r="F120" s="6" t="n">
        <v>1288</v>
      </c>
      <c r="G120" s="6" t="n">
        <v>75</v>
      </c>
      <c r="H120" s="6" t="n">
        <v>1288</v>
      </c>
      <c r="I120" s="6" t="n">
        <v>29164</v>
      </c>
      <c r="J120" s="6" t="n">
        <v>61</v>
      </c>
      <c r="K120" s="6" t="n">
        <v>96600</v>
      </c>
    </row>
    <row r="121" customFormat="false" ht="15.75" hidden="false" customHeight="true" outlineLevel="0" collapsed="false">
      <c r="A121" s="7" t="n">
        <v>46104</v>
      </c>
      <c r="B121" s="8" t="str">
        <f aca="false">TEXT(A121,"MMM YYYY")</f>
        <v>Mar 2026</v>
      </c>
      <c r="C121" s="9" t="s">
        <v>17</v>
      </c>
      <c r="D121" s="9" t="s">
        <v>19</v>
      </c>
      <c r="E121" s="9" t="s">
        <v>16</v>
      </c>
      <c r="F121" s="10" t="n">
        <v>1748</v>
      </c>
      <c r="G121" s="10" t="n">
        <v>35</v>
      </c>
      <c r="H121" s="10" t="n">
        <v>828</v>
      </c>
      <c r="I121" s="10" t="n">
        <v>31096</v>
      </c>
      <c r="J121" s="10" t="n">
        <v>18</v>
      </c>
      <c r="K121" s="10" t="n">
        <v>61180</v>
      </c>
    </row>
    <row r="122" customFormat="false" ht="15.75" hidden="false" customHeight="true" outlineLevel="0" collapsed="false">
      <c r="A122" s="3" t="n">
        <v>46104</v>
      </c>
      <c r="B122" s="4" t="str">
        <f aca="false">TEXT(A122,"MMM YYYY")</f>
        <v>Mar 2026</v>
      </c>
      <c r="C122" s="5" t="s">
        <v>17</v>
      </c>
      <c r="D122" s="5" t="s">
        <v>12</v>
      </c>
      <c r="E122" s="5" t="s">
        <v>16</v>
      </c>
      <c r="F122" s="6" t="n">
        <v>460</v>
      </c>
      <c r="G122" s="6" t="n">
        <v>25</v>
      </c>
      <c r="H122" s="6" t="n">
        <v>828</v>
      </c>
      <c r="I122" s="6" t="n">
        <v>25668</v>
      </c>
      <c r="J122" s="6" t="n">
        <v>55</v>
      </c>
      <c r="K122" s="6" t="n">
        <v>11500</v>
      </c>
    </row>
    <row r="123" customFormat="false" ht="15.75" hidden="false" customHeight="true" outlineLevel="0" collapsed="false">
      <c r="A123" s="7" t="n">
        <v>46104</v>
      </c>
      <c r="B123" s="8" t="str">
        <f aca="false">TEXT(A123,"MMM YYYY")</f>
        <v>Mar 2026</v>
      </c>
      <c r="C123" s="9" t="s">
        <v>17</v>
      </c>
      <c r="D123" s="9" t="s">
        <v>15</v>
      </c>
      <c r="E123" s="9" t="s">
        <v>20</v>
      </c>
      <c r="F123" s="10" t="n">
        <v>736</v>
      </c>
      <c r="G123" s="10" t="n">
        <v>25</v>
      </c>
      <c r="H123" s="10" t="n">
        <v>1288</v>
      </c>
      <c r="I123" s="10" t="n">
        <v>29164</v>
      </c>
      <c r="J123" s="10" t="n">
        <v>61</v>
      </c>
      <c r="K123" s="10" t="n">
        <v>18400</v>
      </c>
    </row>
    <row r="124" customFormat="false" ht="15.75" hidden="false" customHeight="true" outlineLevel="0" collapsed="false">
      <c r="A124" s="3" t="n">
        <v>46105</v>
      </c>
      <c r="B124" s="4" t="str">
        <f aca="false">TEXT(A124,"MMM YYYY")</f>
        <v>Mar 2026</v>
      </c>
      <c r="C124" s="5" t="s">
        <v>11</v>
      </c>
      <c r="D124" s="5" t="s">
        <v>19</v>
      </c>
      <c r="E124" s="5" t="s">
        <v>13</v>
      </c>
      <c r="F124" s="6" t="n">
        <v>1840</v>
      </c>
      <c r="G124" s="6" t="n">
        <v>75</v>
      </c>
      <c r="H124" s="6" t="n">
        <v>368</v>
      </c>
      <c r="I124" s="6" t="n">
        <v>6624</v>
      </c>
      <c r="J124" s="6" t="n">
        <v>23</v>
      </c>
      <c r="K124" s="6" t="n">
        <v>138000</v>
      </c>
    </row>
    <row r="125" customFormat="false" ht="15.75" hidden="false" customHeight="true" outlineLevel="0" collapsed="false">
      <c r="A125" s="7" t="n">
        <v>46105</v>
      </c>
      <c r="B125" s="8" t="str">
        <f aca="false">TEXT(A125,"MMM YYYY")</f>
        <v>Mar 2026</v>
      </c>
      <c r="C125" s="9" t="s">
        <v>11</v>
      </c>
      <c r="D125" s="9" t="s">
        <v>21</v>
      </c>
      <c r="E125" s="9" t="s">
        <v>16</v>
      </c>
      <c r="F125" s="10" t="n">
        <v>920</v>
      </c>
      <c r="G125" s="10" t="n">
        <v>25</v>
      </c>
      <c r="H125" s="10" t="n">
        <v>920</v>
      </c>
      <c r="I125" s="10" t="n">
        <v>3772</v>
      </c>
      <c r="J125" s="10" t="n">
        <v>32</v>
      </c>
      <c r="K125" s="10" t="n">
        <v>23000</v>
      </c>
    </row>
    <row r="126" customFormat="false" ht="15.75" hidden="false" customHeight="true" outlineLevel="0" collapsed="false">
      <c r="A126" s="3" t="n">
        <v>46105</v>
      </c>
      <c r="B126" s="4" t="str">
        <f aca="false">TEXT(A126,"MMM YYYY")</f>
        <v>Mar 2026</v>
      </c>
      <c r="C126" s="5" t="s">
        <v>14</v>
      </c>
      <c r="D126" s="5" t="s">
        <v>19</v>
      </c>
      <c r="E126" s="5" t="s">
        <v>20</v>
      </c>
      <c r="F126" s="6" t="n">
        <v>1196</v>
      </c>
      <c r="G126" s="6" t="n">
        <v>25</v>
      </c>
      <c r="H126" s="6" t="n">
        <v>368</v>
      </c>
      <c r="I126" s="6" t="n">
        <v>6624</v>
      </c>
      <c r="J126" s="6" t="n">
        <v>23</v>
      </c>
      <c r="K126" s="6" t="n">
        <v>29900</v>
      </c>
    </row>
    <row r="127" customFormat="false" ht="15.75" hidden="false" customHeight="true" outlineLevel="0" collapsed="false">
      <c r="A127" s="7" t="n">
        <v>46105</v>
      </c>
      <c r="B127" s="8" t="str">
        <f aca="false">TEXT(A127,"MMM YYYY")</f>
        <v>Mar 2026</v>
      </c>
      <c r="C127" s="9" t="s">
        <v>14</v>
      </c>
      <c r="D127" s="9" t="s">
        <v>21</v>
      </c>
      <c r="E127" s="9" t="s">
        <v>20</v>
      </c>
      <c r="F127" s="10" t="n">
        <v>644</v>
      </c>
      <c r="G127" s="10" t="n">
        <v>50</v>
      </c>
      <c r="H127" s="10" t="n">
        <v>920</v>
      </c>
      <c r="I127" s="10" t="n">
        <v>3772</v>
      </c>
      <c r="J127" s="10" t="n">
        <v>32</v>
      </c>
      <c r="K127" s="10" t="n">
        <v>32200</v>
      </c>
    </row>
    <row r="128" customFormat="false" ht="15.75" hidden="false" customHeight="true" outlineLevel="0" collapsed="false">
      <c r="A128" s="3" t="n">
        <v>46105</v>
      </c>
      <c r="B128" s="4" t="str">
        <f aca="false">TEXT(A128,"MMM YYYY")</f>
        <v>Mar 2026</v>
      </c>
      <c r="C128" s="5" t="s">
        <v>17</v>
      </c>
      <c r="D128" s="5" t="s">
        <v>19</v>
      </c>
      <c r="E128" s="5" t="s">
        <v>20</v>
      </c>
      <c r="F128" s="6" t="n">
        <v>368</v>
      </c>
      <c r="G128" s="6" t="n">
        <v>25</v>
      </c>
      <c r="H128" s="6" t="n">
        <v>368</v>
      </c>
      <c r="I128" s="6" t="n">
        <v>6624</v>
      </c>
      <c r="J128" s="6" t="n">
        <v>23</v>
      </c>
      <c r="K128" s="6" t="n">
        <v>9200</v>
      </c>
    </row>
    <row r="129" customFormat="false" ht="15.75" hidden="false" customHeight="true" outlineLevel="0" collapsed="false">
      <c r="A129" s="7" t="n">
        <v>46105</v>
      </c>
      <c r="B129" s="8" t="str">
        <f aca="false">TEXT(A129,"MMM YYYY")</f>
        <v>Mar 2026</v>
      </c>
      <c r="C129" s="9" t="s">
        <v>17</v>
      </c>
      <c r="D129" s="9" t="s">
        <v>21</v>
      </c>
      <c r="E129" s="9" t="s">
        <v>16</v>
      </c>
      <c r="F129" s="10" t="n">
        <v>1196</v>
      </c>
      <c r="G129" s="10" t="n">
        <v>100</v>
      </c>
      <c r="H129" s="10" t="n">
        <v>920</v>
      </c>
      <c r="I129" s="10" t="n">
        <v>3772</v>
      </c>
      <c r="J129" s="10" t="n">
        <v>32</v>
      </c>
      <c r="K129" s="10" t="n">
        <v>119600</v>
      </c>
    </row>
    <row r="130" customFormat="false" ht="15.75" hidden="false" customHeight="true" outlineLevel="0" collapsed="false">
      <c r="A130" s="3" t="n">
        <v>46106</v>
      </c>
      <c r="B130" s="4" t="str">
        <f aca="false">TEXT(A130,"MMM YYYY")</f>
        <v>Mar 2026</v>
      </c>
      <c r="C130" s="5" t="s">
        <v>11</v>
      </c>
      <c r="D130" s="5" t="s">
        <v>19</v>
      </c>
      <c r="E130" s="5" t="s">
        <v>16</v>
      </c>
      <c r="F130" s="6" t="n">
        <v>276</v>
      </c>
      <c r="G130" s="6" t="n">
        <v>35</v>
      </c>
      <c r="H130" s="6" t="n">
        <v>828</v>
      </c>
      <c r="I130" s="6" t="n">
        <v>24104</v>
      </c>
      <c r="J130" s="6" t="n">
        <v>34</v>
      </c>
      <c r="K130" s="6" t="n">
        <v>9660</v>
      </c>
    </row>
    <row r="131" customFormat="false" ht="15.75" hidden="false" customHeight="true" outlineLevel="0" collapsed="false">
      <c r="A131" s="7" t="n">
        <v>46106</v>
      </c>
      <c r="B131" s="8" t="str">
        <f aca="false">TEXT(A131,"MMM YYYY")</f>
        <v>Mar 2026</v>
      </c>
      <c r="C131" s="9" t="s">
        <v>11</v>
      </c>
      <c r="D131" s="9" t="s">
        <v>12</v>
      </c>
      <c r="E131" s="9" t="s">
        <v>13</v>
      </c>
      <c r="F131" s="10" t="n">
        <v>368</v>
      </c>
      <c r="G131" s="10" t="n">
        <v>75</v>
      </c>
      <c r="H131" s="10" t="n">
        <v>1196</v>
      </c>
      <c r="I131" s="10" t="n">
        <v>47104</v>
      </c>
      <c r="J131" s="10" t="n">
        <v>55</v>
      </c>
      <c r="K131" s="10" t="n">
        <v>27600</v>
      </c>
    </row>
    <row r="132" customFormat="false" ht="15.75" hidden="false" customHeight="true" outlineLevel="0" collapsed="false">
      <c r="A132" s="3" t="n">
        <v>46106</v>
      </c>
      <c r="B132" s="4" t="str">
        <f aca="false">TEXT(A132,"MMM YYYY")</f>
        <v>Mar 2026</v>
      </c>
      <c r="C132" s="5" t="s">
        <v>11</v>
      </c>
      <c r="D132" s="5" t="s">
        <v>12</v>
      </c>
      <c r="E132" s="5" t="s">
        <v>20</v>
      </c>
      <c r="F132" s="6" t="n">
        <v>1196</v>
      </c>
      <c r="G132" s="6" t="n">
        <v>100</v>
      </c>
      <c r="H132" s="6" t="n">
        <v>1196</v>
      </c>
      <c r="I132" s="6" t="n">
        <v>47104</v>
      </c>
      <c r="J132" s="6" t="n">
        <v>55</v>
      </c>
      <c r="K132" s="6" t="n">
        <v>119600</v>
      </c>
    </row>
    <row r="133" customFormat="false" ht="15.75" hidden="false" customHeight="true" outlineLevel="0" collapsed="false">
      <c r="A133" s="7" t="n">
        <v>46106</v>
      </c>
      <c r="B133" s="8" t="str">
        <f aca="false">TEXT(A133,"MMM YYYY")</f>
        <v>Mar 2026</v>
      </c>
      <c r="C133" s="9" t="s">
        <v>11</v>
      </c>
      <c r="D133" s="9" t="s">
        <v>15</v>
      </c>
      <c r="E133" s="9" t="s">
        <v>16</v>
      </c>
      <c r="F133" s="10" t="n">
        <v>1564</v>
      </c>
      <c r="G133" s="10" t="n">
        <v>35</v>
      </c>
      <c r="H133" s="10" t="n">
        <v>552</v>
      </c>
      <c r="I133" s="10" t="n">
        <v>26772</v>
      </c>
      <c r="J133" s="10" t="n">
        <v>63</v>
      </c>
      <c r="K133" s="10" t="n">
        <v>54740</v>
      </c>
    </row>
    <row r="134" customFormat="false" ht="15.75" hidden="false" customHeight="true" outlineLevel="0" collapsed="false">
      <c r="A134" s="3" t="n">
        <v>46106</v>
      </c>
      <c r="B134" s="4" t="str">
        <f aca="false">TEXT(A134,"MMM YYYY")</f>
        <v>Mar 2026</v>
      </c>
      <c r="C134" s="5" t="s">
        <v>14</v>
      </c>
      <c r="D134" s="5" t="s">
        <v>19</v>
      </c>
      <c r="E134" s="5" t="s">
        <v>13</v>
      </c>
      <c r="F134" s="6" t="n">
        <v>1104</v>
      </c>
      <c r="G134" s="6" t="n">
        <v>25</v>
      </c>
      <c r="H134" s="6" t="n">
        <v>828</v>
      </c>
      <c r="I134" s="6" t="n">
        <v>24104</v>
      </c>
      <c r="J134" s="6" t="n">
        <v>34</v>
      </c>
      <c r="K134" s="6" t="n">
        <v>27600</v>
      </c>
    </row>
    <row r="135" customFormat="false" ht="15.75" hidden="false" customHeight="true" outlineLevel="0" collapsed="false">
      <c r="A135" s="7" t="n">
        <v>46106</v>
      </c>
      <c r="B135" s="8" t="str">
        <f aca="false">TEXT(A135,"MMM YYYY")</f>
        <v>Mar 2026</v>
      </c>
      <c r="C135" s="9" t="s">
        <v>14</v>
      </c>
      <c r="D135" s="9" t="s">
        <v>15</v>
      </c>
      <c r="E135" s="9" t="s">
        <v>13</v>
      </c>
      <c r="F135" s="10" t="n">
        <v>368</v>
      </c>
      <c r="G135" s="10" t="n">
        <v>35</v>
      </c>
      <c r="H135" s="10" t="n">
        <v>552</v>
      </c>
      <c r="I135" s="10" t="n">
        <v>26772</v>
      </c>
      <c r="J135" s="10" t="n">
        <v>63</v>
      </c>
      <c r="K135" s="10" t="n">
        <v>12880</v>
      </c>
    </row>
    <row r="136" customFormat="false" ht="15.75" hidden="false" customHeight="true" outlineLevel="0" collapsed="false">
      <c r="A136" s="3" t="n">
        <v>46106</v>
      </c>
      <c r="B136" s="4" t="str">
        <f aca="false">TEXT(A136,"MMM YYYY")</f>
        <v>Mar 2026</v>
      </c>
      <c r="C136" s="5" t="s">
        <v>17</v>
      </c>
      <c r="D136" s="5" t="s">
        <v>19</v>
      </c>
      <c r="E136" s="5" t="s">
        <v>16</v>
      </c>
      <c r="F136" s="6" t="n">
        <v>1288</v>
      </c>
      <c r="G136" s="6" t="n">
        <v>100</v>
      </c>
      <c r="H136" s="6" t="n">
        <v>828</v>
      </c>
      <c r="I136" s="6" t="n">
        <v>24104</v>
      </c>
      <c r="J136" s="6" t="n">
        <v>34</v>
      </c>
      <c r="K136" s="6" t="n">
        <v>128800</v>
      </c>
    </row>
    <row r="137" customFormat="false" ht="15.75" hidden="false" customHeight="true" outlineLevel="0" collapsed="false">
      <c r="A137" s="7" t="n">
        <v>46106</v>
      </c>
      <c r="B137" s="8" t="str">
        <f aca="false">TEXT(A137,"MMM YYYY")</f>
        <v>Mar 2026</v>
      </c>
      <c r="C137" s="9" t="s">
        <v>17</v>
      </c>
      <c r="D137" s="9" t="s">
        <v>12</v>
      </c>
      <c r="E137" s="9" t="s">
        <v>16</v>
      </c>
      <c r="F137" s="10" t="n">
        <v>1012</v>
      </c>
      <c r="G137" s="10" t="n">
        <v>35</v>
      </c>
      <c r="H137" s="10" t="n">
        <v>1196</v>
      </c>
      <c r="I137" s="10" t="n">
        <v>47104</v>
      </c>
      <c r="J137" s="10" t="n">
        <v>55</v>
      </c>
      <c r="K137" s="10" t="n">
        <v>35420</v>
      </c>
    </row>
    <row r="138" customFormat="false" ht="15.75" hidden="false" customHeight="true" outlineLevel="0" collapsed="false">
      <c r="A138" s="3" t="n">
        <v>46107</v>
      </c>
      <c r="B138" s="4" t="str">
        <f aca="false">TEXT(A138,"MMM YYYY")</f>
        <v>Mar 2026</v>
      </c>
      <c r="C138" s="5" t="s">
        <v>11</v>
      </c>
      <c r="D138" s="5" t="s">
        <v>19</v>
      </c>
      <c r="E138" s="5" t="s">
        <v>13</v>
      </c>
      <c r="F138" s="6" t="n">
        <v>276</v>
      </c>
      <c r="G138" s="6" t="n">
        <v>50</v>
      </c>
      <c r="H138" s="6" t="n">
        <v>1288</v>
      </c>
      <c r="I138" s="6" t="n">
        <v>14996</v>
      </c>
      <c r="J138" s="6" t="n">
        <v>34</v>
      </c>
      <c r="K138" s="6" t="n">
        <v>13800</v>
      </c>
    </row>
    <row r="139" customFormat="false" ht="15.75" hidden="false" customHeight="true" outlineLevel="0" collapsed="false">
      <c r="A139" s="7" t="n">
        <v>46107</v>
      </c>
      <c r="B139" s="8" t="str">
        <f aca="false">TEXT(A139,"MMM YYYY")</f>
        <v>Mar 2026</v>
      </c>
      <c r="C139" s="9" t="s">
        <v>11</v>
      </c>
      <c r="D139" s="9" t="s">
        <v>12</v>
      </c>
      <c r="E139" s="9" t="s">
        <v>16</v>
      </c>
      <c r="F139" s="10" t="n">
        <v>1748</v>
      </c>
      <c r="G139" s="10" t="n">
        <v>100</v>
      </c>
      <c r="H139" s="10" t="n">
        <v>1104</v>
      </c>
      <c r="I139" s="10" t="n">
        <v>50232</v>
      </c>
      <c r="J139" s="10" t="n">
        <v>53</v>
      </c>
      <c r="K139" s="10" t="n">
        <v>174800</v>
      </c>
    </row>
    <row r="140" customFormat="false" ht="15.75" hidden="false" customHeight="true" outlineLevel="0" collapsed="false">
      <c r="A140" s="3" t="n">
        <v>46107</v>
      </c>
      <c r="B140" s="4" t="str">
        <f aca="false">TEXT(A140,"MMM YYYY")</f>
        <v>Mar 2026</v>
      </c>
      <c r="C140" s="5" t="s">
        <v>14</v>
      </c>
      <c r="D140" s="5" t="s">
        <v>18</v>
      </c>
      <c r="E140" s="5" t="s">
        <v>13</v>
      </c>
      <c r="F140" s="6" t="n">
        <v>1840</v>
      </c>
      <c r="G140" s="6" t="n">
        <v>75</v>
      </c>
      <c r="H140" s="6" t="n">
        <v>1472</v>
      </c>
      <c r="I140" s="6" t="n">
        <v>66608</v>
      </c>
      <c r="J140" s="6" t="n">
        <v>90</v>
      </c>
      <c r="K140" s="6" t="n">
        <v>138000</v>
      </c>
    </row>
    <row r="141" customFormat="false" ht="15.75" hidden="false" customHeight="true" outlineLevel="0" collapsed="false">
      <c r="A141" s="7" t="n">
        <v>46107</v>
      </c>
      <c r="B141" s="8" t="str">
        <f aca="false">TEXT(A141,"MMM YYYY")</f>
        <v>Mar 2026</v>
      </c>
      <c r="C141" s="9" t="s">
        <v>14</v>
      </c>
      <c r="D141" s="9" t="s">
        <v>15</v>
      </c>
      <c r="E141" s="9" t="s">
        <v>20</v>
      </c>
      <c r="F141" s="10" t="n">
        <v>1840</v>
      </c>
      <c r="G141" s="10" t="n">
        <v>50</v>
      </c>
      <c r="H141" s="10" t="n">
        <v>1472</v>
      </c>
      <c r="I141" s="10" t="n">
        <v>52808</v>
      </c>
      <c r="J141" s="10" t="n">
        <v>71</v>
      </c>
      <c r="K141" s="10" t="n">
        <v>92000</v>
      </c>
    </row>
    <row r="142" customFormat="false" ht="15.75" hidden="false" customHeight="true" outlineLevel="0" collapsed="false">
      <c r="A142" s="3" t="n">
        <v>46107</v>
      </c>
      <c r="B142" s="4" t="str">
        <f aca="false">TEXT(A142,"MMM YYYY")</f>
        <v>Mar 2026</v>
      </c>
      <c r="C142" s="5" t="s">
        <v>17</v>
      </c>
      <c r="D142" s="5" t="s">
        <v>18</v>
      </c>
      <c r="E142" s="5" t="s">
        <v>13</v>
      </c>
      <c r="F142" s="6" t="n">
        <v>1012</v>
      </c>
      <c r="G142" s="6" t="n">
        <v>25</v>
      </c>
      <c r="H142" s="6" t="n">
        <v>1472</v>
      </c>
      <c r="I142" s="6" t="n">
        <v>66608</v>
      </c>
      <c r="J142" s="6" t="n">
        <v>90</v>
      </c>
      <c r="K142" s="6" t="n">
        <v>25300</v>
      </c>
    </row>
    <row r="143" customFormat="false" ht="15.75" hidden="false" customHeight="true" outlineLevel="0" collapsed="false">
      <c r="A143" s="7" t="n">
        <v>46107</v>
      </c>
      <c r="B143" s="8" t="str">
        <f aca="false">TEXT(A143,"MMM YYYY")</f>
        <v>Mar 2026</v>
      </c>
      <c r="C143" s="9" t="s">
        <v>17</v>
      </c>
      <c r="D143" s="9" t="s">
        <v>18</v>
      </c>
      <c r="E143" s="9" t="s">
        <v>16</v>
      </c>
      <c r="F143" s="10" t="n">
        <v>1380</v>
      </c>
      <c r="G143" s="10" t="n">
        <v>75</v>
      </c>
      <c r="H143" s="10" t="n">
        <v>1472</v>
      </c>
      <c r="I143" s="10" t="n">
        <v>66608</v>
      </c>
      <c r="J143" s="10" t="n">
        <v>90</v>
      </c>
      <c r="K143" s="10" t="n">
        <v>103500</v>
      </c>
    </row>
    <row r="144" customFormat="false" ht="15.75" hidden="false" customHeight="true" outlineLevel="0" collapsed="false">
      <c r="A144" s="3" t="n">
        <v>46107</v>
      </c>
      <c r="B144" s="4" t="str">
        <f aca="false">TEXT(A144,"MMM YYYY")</f>
        <v>Mar 2026</v>
      </c>
      <c r="C144" s="5" t="s">
        <v>17</v>
      </c>
      <c r="D144" s="5" t="s">
        <v>12</v>
      </c>
      <c r="E144" s="5" t="s">
        <v>16</v>
      </c>
      <c r="F144" s="6" t="n">
        <v>920</v>
      </c>
      <c r="G144" s="6" t="n">
        <v>25</v>
      </c>
      <c r="H144" s="6" t="n">
        <v>1104</v>
      </c>
      <c r="I144" s="6" t="n">
        <v>50232</v>
      </c>
      <c r="J144" s="6" t="n">
        <v>53</v>
      </c>
      <c r="K144" s="6" t="n">
        <v>23000</v>
      </c>
    </row>
    <row r="145" customFormat="false" ht="15.75" hidden="false" customHeight="true" outlineLevel="0" collapsed="false">
      <c r="A145" s="7" t="n">
        <v>46107</v>
      </c>
      <c r="B145" s="8" t="str">
        <f aca="false">TEXT(A145,"MMM YYYY")</f>
        <v>Mar 2026</v>
      </c>
      <c r="C145" s="9" t="s">
        <v>17</v>
      </c>
      <c r="D145" s="9" t="s">
        <v>15</v>
      </c>
      <c r="E145" s="9" t="s">
        <v>13</v>
      </c>
      <c r="F145" s="10" t="n">
        <v>1380</v>
      </c>
      <c r="G145" s="10" t="n">
        <v>50</v>
      </c>
      <c r="H145" s="10" t="n">
        <v>1472</v>
      </c>
      <c r="I145" s="10" t="n">
        <v>52808</v>
      </c>
      <c r="J145" s="10" t="n">
        <v>71</v>
      </c>
      <c r="K145" s="10" t="n">
        <v>69000</v>
      </c>
    </row>
    <row r="146" customFormat="false" ht="15.75" hidden="false" customHeight="true" outlineLevel="0" collapsed="false">
      <c r="A146" s="3" t="n">
        <v>46108</v>
      </c>
      <c r="B146" s="4" t="str">
        <f aca="false">TEXT(A146,"MMM YYYY")</f>
        <v>Mar 2026</v>
      </c>
      <c r="C146" s="5" t="s">
        <v>11</v>
      </c>
      <c r="D146" s="5" t="s">
        <v>19</v>
      </c>
      <c r="E146" s="5" t="s">
        <v>16</v>
      </c>
      <c r="F146" s="6" t="n">
        <v>920</v>
      </c>
      <c r="G146" s="6" t="n">
        <v>75</v>
      </c>
      <c r="H146" s="6" t="n">
        <v>736</v>
      </c>
      <c r="I146" s="6" t="n">
        <v>25208</v>
      </c>
      <c r="J146" s="6" t="n">
        <v>22</v>
      </c>
      <c r="K146" s="6" t="n">
        <v>69000</v>
      </c>
    </row>
    <row r="147" customFormat="false" ht="15.75" hidden="false" customHeight="true" outlineLevel="0" collapsed="false">
      <c r="A147" s="7" t="n">
        <v>46108</v>
      </c>
      <c r="B147" s="8" t="str">
        <f aca="false">TEXT(A147,"MMM YYYY")</f>
        <v>Mar 2026</v>
      </c>
      <c r="C147" s="9" t="s">
        <v>11</v>
      </c>
      <c r="D147" s="9" t="s">
        <v>21</v>
      </c>
      <c r="E147" s="9" t="s">
        <v>13</v>
      </c>
      <c r="F147" s="10" t="n">
        <v>828</v>
      </c>
      <c r="G147" s="10" t="n">
        <v>100</v>
      </c>
      <c r="H147" s="10" t="n">
        <v>644</v>
      </c>
      <c r="I147" s="10" t="n">
        <v>25392</v>
      </c>
      <c r="J147" s="10" t="n">
        <v>37</v>
      </c>
      <c r="K147" s="10" t="n">
        <v>82800</v>
      </c>
    </row>
    <row r="148" customFormat="false" ht="15.75" hidden="false" customHeight="true" outlineLevel="0" collapsed="false">
      <c r="A148" s="3" t="n">
        <v>46108</v>
      </c>
      <c r="B148" s="4" t="str">
        <f aca="false">TEXT(A148,"MMM YYYY")</f>
        <v>Mar 2026</v>
      </c>
      <c r="C148" s="5" t="s">
        <v>14</v>
      </c>
      <c r="D148" s="5" t="s">
        <v>15</v>
      </c>
      <c r="E148" s="5" t="s">
        <v>20</v>
      </c>
      <c r="F148" s="6" t="n">
        <v>1288</v>
      </c>
      <c r="G148" s="6" t="n">
        <v>100</v>
      </c>
      <c r="H148" s="6" t="n">
        <v>1380</v>
      </c>
      <c r="I148" s="6" t="n">
        <v>74428</v>
      </c>
      <c r="J148" s="6" t="n">
        <v>73</v>
      </c>
      <c r="K148" s="6" t="n">
        <v>128800</v>
      </c>
    </row>
    <row r="149" customFormat="false" ht="15.75" hidden="false" customHeight="true" outlineLevel="0" collapsed="false">
      <c r="A149" s="7" t="n">
        <v>46108</v>
      </c>
      <c r="B149" s="8" t="str">
        <f aca="false">TEXT(A149,"MMM YYYY")</f>
        <v>Mar 2026</v>
      </c>
      <c r="C149" s="9" t="s">
        <v>14</v>
      </c>
      <c r="D149" s="9" t="s">
        <v>15</v>
      </c>
      <c r="E149" s="9" t="s">
        <v>16</v>
      </c>
      <c r="F149" s="10" t="n">
        <v>2668</v>
      </c>
      <c r="G149" s="10" t="n">
        <v>50</v>
      </c>
      <c r="H149" s="10" t="n">
        <v>2760</v>
      </c>
      <c r="I149" s="10" t="n">
        <v>148856</v>
      </c>
      <c r="J149" s="10" t="n">
        <v>73</v>
      </c>
      <c r="K149" s="10" t="n">
        <v>149500</v>
      </c>
    </row>
    <row r="150" customFormat="false" ht="15.75" hidden="false" customHeight="true" outlineLevel="0" collapsed="false">
      <c r="A150" s="3" t="n">
        <v>46108</v>
      </c>
      <c r="B150" s="4" t="str">
        <f aca="false">TEXT(A150,"MMM YYYY")</f>
        <v>Mar 2026</v>
      </c>
      <c r="C150" s="5" t="s">
        <v>17</v>
      </c>
      <c r="D150" s="5" t="s">
        <v>21</v>
      </c>
      <c r="E150" s="5" t="s">
        <v>16</v>
      </c>
      <c r="F150" s="6" t="n">
        <v>920</v>
      </c>
      <c r="G150" s="6" t="n">
        <v>75</v>
      </c>
      <c r="H150" s="6" t="n">
        <v>644</v>
      </c>
      <c r="I150" s="6" t="n">
        <v>25392</v>
      </c>
      <c r="J150" s="6" t="n">
        <v>37</v>
      </c>
      <c r="K150" s="6" t="n">
        <v>69000</v>
      </c>
    </row>
    <row r="151" customFormat="false" ht="15.75" hidden="false" customHeight="true" outlineLevel="0" collapsed="false">
      <c r="A151" s="7" t="n">
        <v>46109</v>
      </c>
      <c r="B151" s="8" t="str">
        <f aca="false">TEXT(A151,"MMM YYYY")</f>
        <v>Mar 2026</v>
      </c>
      <c r="C151" s="9" t="s">
        <v>11</v>
      </c>
      <c r="D151" s="9" t="s">
        <v>18</v>
      </c>
      <c r="E151" s="9" t="s">
        <v>13</v>
      </c>
      <c r="F151" s="10" t="n">
        <v>1840</v>
      </c>
      <c r="G151" s="10" t="n">
        <v>35</v>
      </c>
      <c r="H151" s="10" t="n">
        <v>1104</v>
      </c>
      <c r="I151" s="10" t="n">
        <v>42596</v>
      </c>
      <c r="J151" s="10" t="n">
        <v>88</v>
      </c>
      <c r="K151" s="10" t="n">
        <v>64400</v>
      </c>
    </row>
    <row r="152" customFormat="false" ht="15.75" hidden="false" customHeight="true" outlineLevel="0" collapsed="false">
      <c r="A152" s="3" t="n">
        <v>46109</v>
      </c>
      <c r="B152" s="4" t="str">
        <f aca="false">TEXT(A152,"MMM YYYY")</f>
        <v>Mar 2026</v>
      </c>
      <c r="C152" s="5" t="s">
        <v>11</v>
      </c>
      <c r="D152" s="5" t="s">
        <v>18</v>
      </c>
      <c r="E152" s="5" t="s">
        <v>16</v>
      </c>
      <c r="F152" s="6" t="n">
        <v>736</v>
      </c>
      <c r="G152" s="6" t="n">
        <v>75</v>
      </c>
      <c r="H152" s="6" t="n">
        <v>1104</v>
      </c>
      <c r="I152" s="6" t="n">
        <v>42596</v>
      </c>
      <c r="J152" s="6" t="n">
        <v>88</v>
      </c>
      <c r="K152" s="6" t="n">
        <v>55200</v>
      </c>
    </row>
    <row r="153" customFormat="false" ht="15.75" hidden="false" customHeight="true" outlineLevel="0" collapsed="false">
      <c r="A153" s="7" t="n">
        <v>46109</v>
      </c>
      <c r="B153" s="8" t="str">
        <f aca="false">TEXT(A153,"MMM YYYY")</f>
        <v>Mar 2026</v>
      </c>
      <c r="C153" s="9" t="s">
        <v>14</v>
      </c>
      <c r="D153" s="9" t="s">
        <v>19</v>
      </c>
      <c r="E153" s="9" t="s">
        <v>20</v>
      </c>
      <c r="F153" s="10" t="n">
        <v>1840</v>
      </c>
      <c r="G153" s="10" t="n">
        <v>35</v>
      </c>
      <c r="H153" s="10" t="n">
        <v>920</v>
      </c>
      <c r="I153" s="10" t="n">
        <v>33396</v>
      </c>
      <c r="J153" s="10" t="n">
        <v>33</v>
      </c>
      <c r="K153" s="10" t="n">
        <v>64400</v>
      </c>
    </row>
    <row r="154" customFormat="false" ht="15.75" hidden="false" customHeight="true" outlineLevel="0" collapsed="false">
      <c r="A154" s="3" t="n">
        <v>46109</v>
      </c>
      <c r="B154" s="4" t="str">
        <f aca="false">TEXT(A154,"MMM YYYY")</f>
        <v>Mar 2026</v>
      </c>
      <c r="C154" s="5" t="s">
        <v>14</v>
      </c>
      <c r="D154" s="5" t="s">
        <v>21</v>
      </c>
      <c r="E154" s="5" t="s">
        <v>13</v>
      </c>
      <c r="F154" s="6" t="n">
        <v>1012</v>
      </c>
      <c r="G154" s="6" t="n">
        <v>75</v>
      </c>
      <c r="H154" s="6" t="n">
        <v>1104</v>
      </c>
      <c r="I154" s="6" t="n">
        <v>3404</v>
      </c>
      <c r="J154" s="6" t="n">
        <v>37</v>
      </c>
      <c r="K154" s="6" t="n">
        <v>75900</v>
      </c>
    </row>
    <row r="155" customFormat="false" ht="15.75" hidden="false" customHeight="true" outlineLevel="0" collapsed="false">
      <c r="A155" s="7" t="n">
        <v>46110</v>
      </c>
      <c r="B155" s="8" t="str">
        <f aca="false">TEXT(A155,"MMM YYYY")</f>
        <v>Mar 2026</v>
      </c>
      <c r="C155" s="9" t="s">
        <v>11</v>
      </c>
      <c r="D155" s="9" t="s">
        <v>12</v>
      </c>
      <c r="E155" s="9" t="s">
        <v>13</v>
      </c>
      <c r="F155" s="10" t="n">
        <v>1380</v>
      </c>
      <c r="G155" s="10" t="n">
        <v>50</v>
      </c>
      <c r="H155" s="10" t="n">
        <v>1288</v>
      </c>
      <c r="I155" s="10" t="n">
        <v>40112</v>
      </c>
      <c r="J155" s="10" t="n">
        <v>46</v>
      </c>
      <c r="K155" s="10" t="n">
        <v>69000</v>
      </c>
    </row>
    <row r="156" customFormat="false" ht="15.75" hidden="false" customHeight="true" outlineLevel="0" collapsed="false">
      <c r="A156" s="3" t="n">
        <v>46110</v>
      </c>
      <c r="B156" s="4" t="str">
        <f aca="false">TEXT(A156,"MMM YYYY")</f>
        <v>Mar 2026</v>
      </c>
      <c r="C156" s="5" t="s">
        <v>14</v>
      </c>
      <c r="D156" s="5" t="s">
        <v>18</v>
      </c>
      <c r="E156" s="5" t="s">
        <v>20</v>
      </c>
      <c r="F156" s="6" t="n">
        <v>2484</v>
      </c>
      <c r="G156" s="6" t="n">
        <v>50</v>
      </c>
      <c r="H156" s="6" t="n">
        <v>1288</v>
      </c>
      <c r="I156" s="6" t="n">
        <v>47472</v>
      </c>
      <c r="J156" s="6" t="n">
        <v>75</v>
      </c>
      <c r="K156" s="6" t="n">
        <v>103500</v>
      </c>
    </row>
    <row r="157" customFormat="false" ht="15.75" hidden="false" customHeight="true" outlineLevel="0" collapsed="false">
      <c r="A157" s="7" t="n">
        <v>46110</v>
      </c>
      <c r="B157" s="8" t="str">
        <f aca="false">TEXT(A157,"MMM YYYY")</f>
        <v>Mar 2026</v>
      </c>
      <c r="C157" s="9" t="s">
        <v>14</v>
      </c>
      <c r="D157" s="9" t="s">
        <v>19</v>
      </c>
      <c r="E157" s="9" t="s">
        <v>20</v>
      </c>
      <c r="F157" s="10" t="n">
        <v>1840</v>
      </c>
      <c r="G157" s="10" t="n">
        <v>42.5</v>
      </c>
      <c r="H157" s="10" t="n">
        <v>2760</v>
      </c>
      <c r="I157" s="10" t="n">
        <v>80408</v>
      </c>
      <c r="J157" s="10" t="n">
        <v>19</v>
      </c>
      <c r="K157" s="10" t="n">
        <v>75440</v>
      </c>
    </row>
    <row r="158" customFormat="false" ht="15.75" hidden="false" customHeight="true" outlineLevel="0" collapsed="false">
      <c r="A158" s="3" t="n">
        <v>46110</v>
      </c>
      <c r="B158" s="4" t="str">
        <f aca="false">TEXT(A158,"MMM YYYY")</f>
        <v>Mar 2026</v>
      </c>
      <c r="C158" s="5" t="s">
        <v>14</v>
      </c>
      <c r="D158" s="5" t="s">
        <v>15</v>
      </c>
      <c r="E158" s="5" t="s">
        <v>13</v>
      </c>
      <c r="F158" s="6" t="n">
        <v>1012</v>
      </c>
      <c r="G158" s="6" t="n">
        <v>25</v>
      </c>
      <c r="H158" s="6" t="n">
        <v>1012</v>
      </c>
      <c r="I158" s="6" t="n">
        <v>26588</v>
      </c>
      <c r="J158" s="6" t="n">
        <v>64</v>
      </c>
      <c r="K158" s="6" t="n">
        <v>25300</v>
      </c>
    </row>
    <row r="159" customFormat="false" ht="15.75" hidden="false" customHeight="true" outlineLevel="0" collapsed="false">
      <c r="A159" s="7" t="n">
        <v>46110</v>
      </c>
      <c r="B159" s="8" t="str">
        <f aca="false">TEXT(A159,"MMM YYYY")</f>
        <v>Mar 2026</v>
      </c>
      <c r="C159" s="9" t="s">
        <v>14</v>
      </c>
      <c r="D159" s="9" t="s">
        <v>15</v>
      </c>
      <c r="E159" s="9" t="s">
        <v>16</v>
      </c>
      <c r="F159" s="10" t="n">
        <v>1840</v>
      </c>
      <c r="G159" s="10" t="n">
        <v>35</v>
      </c>
      <c r="H159" s="10" t="n">
        <v>1012</v>
      </c>
      <c r="I159" s="10" t="n">
        <v>26588</v>
      </c>
      <c r="J159" s="10" t="n">
        <v>64</v>
      </c>
      <c r="K159" s="10" t="n">
        <v>64400</v>
      </c>
    </row>
    <row r="160" customFormat="false" ht="15.75" hidden="false" customHeight="true" outlineLevel="0" collapsed="false">
      <c r="A160" s="3" t="n">
        <v>46110</v>
      </c>
      <c r="B160" s="4" t="str">
        <f aca="false">TEXT(A160,"MMM YYYY")</f>
        <v>Mar 2026</v>
      </c>
      <c r="C160" s="5" t="s">
        <v>17</v>
      </c>
      <c r="D160" s="5" t="s">
        <v>18</v>
      </c>
      <c r="E160" s="5" t="s">
        <v>20</v>
      </c>
      <c r="F160" s="6" t="n">
        <v>920</v>
      </c>
      <c r="G160" s="6" t="n">
        <v>75</v>
      </c>
      <c r="H160" s="6" t="n">
        <v>644</v>
      </c>
      <c r="I160" s="6" t="n">
        <v>23736</v>
      </c>
      <c r="J160" s="6" t="n">
        <v>75</v>
      </c>
      <c r="K160" s="6" t="n">
        <v>69000</v>
      </c>
    </row>
    <row r="161" customFormat="false" ht="15.75" hidden="false" customHeight="true" outlineLevel="0" collapsed="false">
      <c r="A161" s="7" t="n">
        <v>46111</v>
      </c>
      <c r="B161" s="8" t="str">
        <f aca="false">TEXT(A161,"MMM YYYY")</f>
        <v>Mar 2026</v>
      </c>
      <c r="C161" s="9" t="s">
        <v>14</v>
      </c>
      <c r="D161" s="9" t="s">
        <v>12</v>
      </c>
      <c r="E161" s="9" t="s">
        <v>20</v>
      </c>
      <c r="F161" s="10" t="n">
        <v>1840</v>
      </c>
      <c r="G161" s="10" t="n">
        <v>75</v>
      </c>
      <c r="H161" s="10" t="n">
        <v>920</v>
      </c>
      <c r="I161" s="10" t="n">
        <v>34592</v>
      </c>
      <c r="J161" s="10" t="n">
        <v>57</v>
      </c>
      <c r="K161" s="10" t="n">
        <v>138000</v>
      </c>
    </row>
    <row r="162" customFormat="false" ht="15.75" hidden="false" customHeight="true" outlineLevel="0" collapsed="false">
      <c r="A162" s="3" t="n">
        <v>46111</v>
      </c>
      <c r="B162" s="4" t="str">
        <f aca="false">TEXT(A162,"MMM YYYY")</f>
        <v>Mar 2026</v>
      </c>
      <c r="C162" s="5" t="s">
        <v>14</v>
      </c>
      <c r="D162" s="5" t="s">
        <v>15</v>
      </c>
      <c r="E162" s="5" t="s">
        <v>13</v>
      </c>
      <c r="F162" s="6" t="n">
        <v>920</v>
      </c>
      <c r="G162" s="6" t="n">
        <v>35</v>
      </c>
      <c r="H162" s="6" t="n">
        <v>368</v>
      </c>
      <c r="I162" s="6" t="n">
        <v>4876</v>
      </c>
      <c r="J162" s="6" t="n">
        <v>59</v>
      </c>
      <c r="K162" s="6" t="n">
        <v>32200</v>
      </c>
    </row>
    <row r="163" customFormat="false" ht="15.75" hidden="false" customHeight="true" outlineLevel="0" collapsed="false">
      <c r="A163" s="7" t="n">
        <v>46111</v>
      </c>
      <c r="B163" s="8" t="str">
        <f aca="false">TEXT(A163,"MMM YYYY")</f>
        <v>Mar 2026</v>
      </c>
      <c r="C163" s="9" t="s">
        <v>14</v>
      </c>
      <c r="D163" s="9" t="s">
        <v>15</v>
      </c>
      <c r="E163" s="9" t="s">
        <v>16</v>
      </c>
      <c r="F163" s="10" t="n">
        <v>368</v>
      </c>
      <c r="G163" s="10" t="n">
        <v>100</v>
      </c>
      <c r="H163" s="10" t="n">
        <v>736</v>
      </c>
      <c r="I163" s="10" t="n">
        <v>9752</v>
      </c>
      <c r="J163" s="10" t="n">
        <v>59</v>
      </c>
      <c r="K163" s="10" t="n">
        <v>36800</v>
      </c>
    </row>
    <row r="164" customFormat="false" ht="15.75" hidden="false" customHeight="true" outlineLevel="0" collapsed="false">
      <c r="A164" s="3" t="n">
        <v>46111</v>
      </c>
      <c r="B164" s="4" t="str">
        <f aca="false">TEXT(A164,"MMM YYYY")</f>
        <v>Mar 2026</v>
      </c>
      <c r="C164" s="5" t="s">
        <v>17</v>
      </c>
      <c r="D164" s="5" t="s">
        <v>19</v>
      </c>
      <c r="E164" s="5" t="s">
        <v>13</v>
      </c>
      <c r="F164" s="6" t="n">
        <v>460</v>
      </c>
      <c r="G164" s="6" t="n">
        <v>75</v>
      </c>
      <c r="H164" s="6" t="n">
        <v>920</v>
      </c>
      <c r="I164" s="6" t="n">
        <v>6900</v>
      </c>
      <c r="J164" s="6" t="n">
        <v>17</v>
      </c>
      <c r="K164" s="6" t="n">
        <v>34500</v>
      </c>
    </row>
    <row r="165" customFormat="false" ht="15.75" hidden="false" customHeight="true" outlineLevel="0" collapsed="false">
      <c r="A165" s="7" t="n">
        <v>46111</v>
      </c>
      <c r="B165" s="8" t="str">
        <f aca="false">TEXT(A165,"MMM YYYY")</f>
        <v>Mar 2026</v>
      </c>
      <c r="C165" s="9" t="s">
        <v>17</v>
      </c>
      <c r="D165" s="9" t="s">
        <v>21</v>
      </c>
      <c r="E165" s="9" t="s">
        <v>13</v>
      </c>
      <c r="F165" s="10" t="n">
        <v>1564</v>
      </c>
      <c r="G165" s="10" t="n">
        <v>100</v>
      </c>
      <c r="H165" s="10" t="n">
        <v>1380</v>
      </c>
      <c r="I165" s="10" t="n">
        <v>7636</v>
      </c>
      <c r="J165" s="10" t="n">
        <v>30</v>
      </c>
      <c r="K165" s="10" t="n">
        <v>156400</v>
      </c>
    </row>
    <row r="166" customFormat="false" ht="15.75" hidden="false" customHeight="true" outlineLevel="0" collapsed="false">
      <c r="A166" s="3" t="n">
        <v>46111</v>
      </c>
      <c r="B166" s="4" t="str">
        <f aca="false">TEXT(A166,"MMM YYYY")</f>
        <v>Mar 2026</v>
      </c>
      <c r="C166" s="5" t="s">
        <v>17</v>
      </c>
      <c r="D166" s="5" t="s">
        <v>21</v>
      </c>
      <c r="E166" s="5" t="s">
        <v>16</v>
      </c>
      <c r="F166" s="6" t="n">
        <v>828</v>
      </c>
      <c r="G166" s="6" t="n">
        <v>35</v>
      </c>
      <c r="H166" s="6" t="n">
        <v>1380</v>
      </c>
      <c r="I166" s="6" t="n">
        <v>7636</v>
      </c>
      <c r="J166" s="6" t="n">
        <v>30</v>
      </c>
      <c r="K166" s="6" t="n">
        <v>28980</v>
      </c>
    </row>
    <row r="167" customFormat="false" ht="15.75" hidden="false" customHeight="true" outlineLevel="0" collapsed="false">
      <c r="A167" s="7" t="n">
        <v>46112</v>
      </c>
      <c r="B167" s="8" t="str">
        <f aca="false">TEXT(A167,"MMM YYYY")</f>
        <v>Mar 2026</v>
      </c>
      <c r="C167" s="9" t="s">
        <v>11</v>
      </c>
      <c r="D167" s="9" t="s">
        <v>18</v>
      </c>
      <c r="E167" s="9" t="s">
        <v>16</v>
      </c>
      <c r="F167" s="10" t="n">
        <v>1012</v>
      </c>
      <c r="G167" s="10" t="n">
        <v>50</v>
      </c>
      <c r="H167" s="10" t="n">
        <v>552</v>
      </c>
      <c r="I167" s="10" t="n">
        <v>4416</v>
      </c>
      <c r="J167" s="10" t="n">
        <v>81</v>
      </c>
      <c r="K167" s="10" t="n">
        <v>50600</v>
      </c>
    </row>
    <row r="168" customFormat="false" ht="15.75" hidden="false" customHeight="true" outlineLevel="0" collapsed="false">
      <c r="A168" s="3" t="n">
        <v>46112</v>
      </c>
      <c r="B168" s="4" t="str">
        <f aca="false">TEXT(A168,"MMM YYYY")</f>
        <v>Mar 2026</v>
      </c>
      <c r="C168" s="5" t="s">
        <v>11</v>
      </c>
      <c r="D168" s="5" t="s">
        <v>12</v>
      </c>
      <c r="E168" s="5" t="s">
        <v>16</v>
      </c>
      <c r="F168" s="6" t="n">
        <v>1012</v>
      </c>
      <c r="G168" s="6" t="n">
        <v>35</v>
      </c>
      <c r="H168" s="6" t="n">
        <v>1104</v>
      </c>
      <c r="I168" s="6" t="n">
        <v>29716</v>
      </c>
      <c r="J168" s="6" t="n">
        <v>59</v>
      </c>
      <c r="K168" s="6" t="n">
        <v>35420</v>
      </c>
    </row>
    <row r="169" customFormat="false" ht="15.75" hidden="false" customHeight="true" outlineLevel="0" collapsed="false">
      <c r="A169" s="7" t="n">
        <v>46112</v>
      </c>
      <c r="B169" s="8" t="str">
        <f aca="false">TEXT(A169,"MMM YYYY")</f>
        <v>Mar 2026</v>
      </c>
      <c r="C169" s="9" t="s">
        <v>11</v>
      </c>
      <c r="D169" s="9" t="s">
        <v>15</v>
      </c>
      <c r="E169" s="9" t="s">
        <v>13</v>
      </c>
      <c r="F169" s="10" t="n">
        <v>184</v>
      </c>
      <c r="G169" s="10" t="n">
        <v>35</v>
      </c>
      <c r="H169" s="10" t="n">
        <v>1288</v>
      </c>
      <c r="I169" s="10" t="n">
        <v>51520</v>
      </c>
      <c r="J169" s="10" t="n">
        <v>64</v>
      </c>
      <c r="K169" s="10" t="n">
        <v>6440</v>
      </c>
    </row>
    <row r="170" customFormat="false" ht="15.75" hidden="false" customHeight="true" outlineLevel="0" collapsed="false">
      <c r="A170" s="3" t="n">
        <v>46112</v>
      </c>
      <c r="B170" s="4" t="str">
        <f aca="false">TEXT(A170,"MMM YYYY")</f>
        <v>Mar 2026</v>
      </c>
      <c r="C170" s="5" t="s">
        <v>11</v>
      </c>
      <c r="D170" s="5" t="s">
        <v>15</v>
      </c>
      <c r="E170" s="5" t="s">
        <v>16</v>
      </c>
      <c r="F170" s="6" t="n">
        <v>184</v>
      </c>
      <c r="G170" s="6" t="n">
        <v>75</v>
      </c>
      <c r="H170" s="6" t="n">
        <v>1288</v>
      </c>
      <c r="I170" s="6" t="n">
        <v>51520</v>
      </c>
      <c r="J170" s="6" t="n">
        <v>64</v>
      </c>
      <c r="K170" s="6" t="n">
        <v>13800</v>
      </c>
    </row>
    <row r="171" customFormat="false" ht="15.75" hidden="false" customHeight="true" outlineLevel="0" collapsed="false">
      <c r="A171" s="7" t="n">
        <v>46112</v>
      </c>
      <c r="B171" s="8" t="str">
        <f aca="false">TEXT(A171,"MMM YYYY")</f>
        <v>Mar 2026</v>
      </c>
      <c r="C171" s="9" t="s">
        <v>14</v>
      </c>
      <c r="D171" s="9" t="s">
        <v>15</v>
      </c>
      <c r="E171" s="9" t="s">
        <v>13</v>
      </c>
      <c r="F171" s="10" t="n">
        <v>1380</v>
      </c>
      <c r="G171" s="10" t="n">
        <v>25</v>
      </c>
      <c r="H171" s="10" t="n">
        <v>1288</v>
      </c>
      <c r="I171" s="10" t="n">
        <v>51520</v>
      </c>
      <c r="J171" s="10" t="n">
        <v>64</v>
      </c>
      <c r="K171" s="10" t="n">
        <v>34500</v>
      </c>
    </row>
    <row r="172" customFormat="false" ht="15.75" hidden="false" customHeight="true" outlineLevel="0" collapsed="false">
      <c r="A172" s="3" t="n">
        <v>46112</v>
      </c>
      <c r="B172" s="4" t="str">
        <f aca="false">TEXT(A172,"MMM YYYY")</f>
        <v>Mar 2026</v>
      </c>
      <c r="C172" s="5" t="s">
        <v>17</v>
      </c>
      <c r="D172" s="5" t="s">
        <v>19</v>
      </c>
      <c r="E172" s="5" t="s">
        <v>13</v>
      </c>
      <c r="F172" s="6" t="n">
        <v>552</v>
      </c>
      <c r="G172" s="6" t="n">
        <v>75</v>
      </c>
      <c r="H172" s="6" t="n">
        <v>1196</v>
      </c>
      <c r="I172" s="6" t="n">
        <v>50784</v>
      </c>
      <c r="J172" s="6" t="n">
        <v>31</v>
      </c>
      <c r="K172" s="6" t="n">
        <v>41400</v>
      </c>
    </row>
    <row r="173" customFormat="false" ht="15.75" hidden="false" customHeight="true" outlineLevel="0" collapsed="false">
      <c r="A173" s="7" t="n">
        <v>46112</v>
      </c>
      <c r="B173" s="8" t="str">
        <f aca="false">TEXT(A173,"MMM YYYY")</f>
        <v>Mar 2026</v>
      </c>
      <c r="C173" s="9" t="s">
        <v>17</v>
      </c>
      <c r="D173" s="9" t="s">
        <v>21</v>
      </c>
      <c r="E173" s="9" t="s">
        <v>16</v>
      </c>
      <c r="F173" s="10" t="n">
        <v>276</v>
      </c>
      <c r="G173" s="10" t="n">
        <v>50</v>
      </c>
      <c r="H173" s="10" t="n">
        <v>552</v>
      </c>
      <c r="I173" s="10" t="n">
        <v>26036</v>
      </c>
      <c r="J173" s="10" t="n">
        <v>39</v>
      </c>
      <c r="K173" s="10" t="n">
        <v>13800</v>
      </c>
    </row>
    <row r="174" customFormat="false" ht="15.75" hidden="false" customHeight="true" outlineLevel="0" collapsed="false">
      <c r="A174" s="3" t="n">
        <v>46113</v>
      </c>
      <c r="B174" s="4" t="str">
        <f aca="false">TEXT(A174,"MMM YYYY")</f>
        <v>Apr 2026</v>
      </c>
      <c r="C174" s="5" t="s">
        <v>11</v>
      </c>
      <c r="D174" s="5" t="s">
        <v>19</v>
      </c>
      <c r="E174" s="5" t="s">
        <v>16</v>
      </c>
      <c r="F174" s="6" t="n">
        <v>552</v>
      </c>
      <c r="G174" s="6" t="n">
        <v>75</v>
      </c>
      <c r="H174" s="6" t="n">
        <v>1380</v>
      </c>
      <c r="I174" s="6" t="n">
        <v>55384</v>
      </c>
      <c r="J174" s="6" t="n">
        <v>33</v>
      </c>
      <c r="K174" s="6" t="n">
        <v>41400</v>
      </c>
    </row>
    <row r="175" customFormat="false" ht="15.75" hidden="false" customHeight="true" outlineLevel="0" collapsed="false">
      <c r="A175" s="7" t="n">
        <v>46113</v>
      </c>
      <c r="B175" s="8" t="str">
        <f aca="false">TEXT(A175,"MMM YYYY")</f>
        <v>Apr 2026</v>
      </c>
      <c r="C175" s="9" t="s">
        <v>17</v>
      </c>
      <c r="D175" s="9" t="s">
        <v>19</v>
      </c>
      <c r="E175" s="9" t="s">
        <v>13</v>
      </c>
      <c r="F175" s="10" t="n">
        <v>1288</v>
      </c>
      <c r="G175" s="10" t="n">
        <v>25</v>
      </c>
      <c r="H175" s="10" t="n">
        <v>1380</v>
      </c>
      <c r="I175" s="10" t="n">
        <v>55384</v>
      </c>
      <c r="J175" s="10" t="n">
        <v>33</v>
      </c>
      <c r="K175" s="10" t="n">
        <v>32200</v>
      </c>
    </row>
    <row r="176" customFormat="false" ht="15.75" hidden="false" customHeight="true" outlineLevel="0" collapsed="false">
      <c r="A176" s="3" t="n">
        <v>46113</v>
      </c>
      <c r="B176" s="4" t="str">
        <f aca="false">TEXT(A176,"MMM YYYY")</f>
        <v>Apr 2026</v>
      </c>
      <c r="C176" s="5" t="s">
        <v>17</v>
      </c>
      <c r="D176" s="5" t="s">
        <v>19</v>
      </c>
      <c r="E176" s="5" t="s">
        <v>20</v>
      </c>
      <c r="F176" s="6" t="n">
        <v>1104</v>
      </c>
      <c r="G176" s="6" t="n">
        <v>75</v>
      </c>
      <c r="H176" s="6" t="n">
        <v>1380</v>
      </c>
      <c r="I176" s="6" t="n">
        <v>55384</v>
      </c>
      <c r="J176" s="6" t="n">
        <v>33</v>
      </c>
      <c r="K176" s="6" t="n">
        <v>82800</v>
      </c>
    </row>
    <row r="177" customFormat="false" ht="15.75" hidden="false" customHeight="true" outlineLevel="0" collapsed="false">
      <c r="A177" s="7" t="n">
        <v>46113</v>
      </c>
      <c r="B177" s="8" t="str">
        <f aca="false">TEXT(A177,"MMM YYYY")</f>
        <v>Apr 2026</v>
      </c>
      <c r="C177" s="9" t="s">
        <v>17</v>
      </c>
      <c r="D177" s="9" t="s">
        <v>15</v>
      </c>
      <c r="E177" s="9" t="s">
        <v>20</v>
      </c>
      <c r="F177" s="10" t="n">
        <v>368</v>
      </c>
      <c r="G177" s="10" t="n">
        <v>25</v>
      </c>
      <c r="H177" s="10" t="n">
        <v>1380</v>
      </c>
      <c r="I177" s="10" t="n">
        <v>69000</v>
      </c>
      <c r="J177" s="10" t="n">
        <v>57</v>
      </c>
      <c r="K177" s="10" t="n">
        <v>9200</v>
      </c>
    </row>
    <row r="178" customFormat="false" ht="15.75" hidden="false" customHeight="true" outlineLevel="0" collapsed="false">
      <c r="A178" s="3" t="n">
        <v>46114</v>
      </c>
      <c r="B178" s="4" t="str">
        <f aca="false">TEXT(A178,"MMM YYYY")</f>
        <v>Apr 2026</v>
      </c>
      <c r="C178" s="5" t="s">
        <v>11</v>
      </c>
      <c r="D178" s="5" t="s">
        <v>19</v>
      </c>
      <c r="E178" s="5" t="s">
        <v>20</v>
      </c>
      <c r="F178" s="6" t="n">
        <v>1288</v>
      </c>
      <c r="G178" s="6" t="n">
        <v>35</v>
      </c>
      <c r="H178" s="6" t="n">
        <v>1472</v>
      </c>
      <c r="I178" s="6" t="n">
        <v>56856</v>
      </c>
      <c r="J178" s="6" t="n">
        <v>23</v>
      </c>
      <c r="K178" s="6" t="n">
        <v>45080</v>
      </c>
    </row>
    <row r="179" customFormat="false" ht="15.75" hidden="false" customHeight="true" outlineLevel="0" collapsed="false">
      <c r="A179" s="7" t="n">
        <v>46114</v>
      </c>
      <c r="B179" s="8" t="str">
        <f aca="false">TEXT(A179,"MMM YYYY")</f>
        <v>Apr 2026</v>
      </c>
      <c r="C179" s="9" t="s">
        <v>11</v>
      </c>
      <c r="D179" s="9" t="s">
        <v>19</v>
      </c>
      <c r="E179" s="9" t="s">
        <v>16</v>
      </c>
      <c r="F179" s="10" t="n">
        <v>1104</v>
      </c>
      <c r="G179" s="10" t="n">
        <v>100</v>
      </c>
      <c r="H179" s="10" t="n">
        <v>1472</v>
      </c>
      <c r="I179" s="10" t="n">
        <v>56856</v>
      </c>
      <c r="J179" s="10" t="n">
        <v>23</v>
      </c>
      <c r="K179" s="10" t="n">
        <v>110400</v>
      </c>
    </row>
    <row r="180" customFormat="false" ht="15.75" hidden="false" customHeight="true" outlineLevel="0" collapsed="false">
      <c r="A180" s="3" t="n">
        <v>46114</v>
      </c>
      <c r="B180" s="4" t="str">
        <f aca="false">TEXT(A180,"MMM YYYY")</f>
        <v>Apr 2026</v>
      </c>
      <c r="C180" s="5" t="s">
        <v>11</v>
      </c>
      <c r="D180" s="5" t="s">
        <v>15</v>
      </c>
      <c r="E180" s="5" t="s">
        <v>13</v>
      </c>
      <c r="F180" s="6" t="n">
        <v>1380</v>
      </c>
      <c r="G180" s="6" t="n">
        <v>50</v>
      </c>
      <c r="H180" s="6" t="n">
        <v>460</v>
      </c>
      <c r="I180" s="6" t="n">
        <v>21620</v>
      </c>
      <c r="J180" s="6" t="n">
        <v>71</v>
      </c>
      <c r="K180" s="6" t="n">
        <v>69000</v>
      </c>
    </row>
    <row r="181" customFormat="false" ht="15.75" hidden="false" customHeight="true" outlineLevel="0" collapsed="false">
      <c r="A181" s="7" t="n">
        <v>46114</v>
      </c>
      <c r="B181" s="8" t="str">
        <f aca="false">TEXT(A181,"MMM YYYY")</f>
        <v>Apr 2026</v>
      </c>
      <c r="C181" s="9" t="s">
        <v>14</v>
      </c>
      <c r="D181" s="9" t="s">
        <v>19</v>
      </c>
      <c r="E181" s="9" t="s">
        <v>13</v>
      </c>
      <c r="F181" s="10" t="n">
        <v>460</v>
      </c>
      <c r="G181" s="10" t="n">
        <v>100</v>
      </c>
      <c r="H181" s="10" t="n">
        <v>1472</v>
      </c>
      <c r="I181" s="10" t="n">
        <v>56856</v>
      </c>
      <c r="J181" s="10" t="n">
        <v>23</v>
      </c>
      <c r="K181" s="10" t="n">
        <v>46000</v>
      </c>
    </row>
    <row r="182" customFormat="false" ht="15.75" hidden="false" customHeight="true" outlineLevel="0" collapsed="false">
      <c r="A182" s="3" t="n">
        <v>46114</v>
      </c>
      <c r="B182" s="4" t="str">
        <f aca="false">TEXT(A182,"MMM YYYY")</f>
        <v>Apr 2026</v>
      </c>
      <c r="C182" s="5" t="s">
        <v>17</v>
      </c>
      <c r="D182" s="5" t="s">
        <v>18</v>
      </c>
      <c r="E182" s="5" t="s">
        <v>16</v>
      </c>
      <c r="F182" s="6" t="n">
        <v>1196</v>
      </c>
      <c r="G182" s="6" t="n">
        <v>50</v>
      </c>
      <c r="H182" s="6" t="n">
        <v>920</v>
      </c>
      <c r="I182" s="6" t="n">
        <v>48300</v>
      </c>
      <c r="J182" s="6" t="n">
        <v>77</v>
      </c>
      <c r="K182" s="6" t="n">
        <v>59800</v>
      </c>
    </row>
    <row r="183" customFormat="false" ht="15.75" hidden="false" customHeight="true" outlineLevel="0" collapsed="false">
      <c r="A183" s="7" t="n">
        <v>46114</v>
      </c>
      <c r="B183" s="8" t="str">
        <f aca="false">TEXT(A183,"MMM YYYY")</f>
        <v>Apr 2026</v>
      </c>
      <c r="C183" s="9" t="s">
        <v>17</v>
      </c>
      <c r="D183" s="9" t="s">
        <v>19</v>
      </c>
      <c r="E183" s="9" t="s">
        <v>13</v>
      </c>
      <c r="F183" s="10" t="n">
        <v>1104</v>
      </c>
      <c r="G183" s="10" t="n">
        <v>50</v>
      </c>
      <c r="H183" s="10" t="n">
        <v>1472</v>
      </c>
      <c r="I183" s="10" t="n">
        <v>56856</v>
      </c>
      <c r="J183" s="10" t="n">
        <v>23</v>
      </c>
      <c r="K183" s="10" t="n">
        <v>55200</v>
      </c>
    </row>
    <row r="184" customFormat="false" ht="15.75" hidden="false" customHeight="true" outlineLevel="0" collapsed="false">
      <c r="A184" s="3" t="n">
        <v>46114</v>
      </c>
      <c r="B184" s="4" t="str">
        <f aca="false">TEXT(A184,"MMM YYYY")</f>
        <v>Apr 2026</v>
      </c>
      <c r="C184" s="5" t="s">
        <v>17</v>
      </c>
      <c r="D184" s="5" t="s">
        <v>19</v>
      </c>
      <c r="E184" s="5" t="s">
        <v>20</v>
      </c>
      <c r="F184" s="6" t="n">
        <v>92</v>
      </c>
      <c r="G184" s="6" t="n">
        <v>35</v>
      </c>
      <c r="H184" s="6" t="n">
        <v>1472</v>
      </c>
      <c r="I184" s="6" t="n">
        <v>56856</v>
      </c>
      <c r="J184" s="6" t="n">
        <v>23</v>
      </c>
      <c r="K184" s="6" t="n">
        <v>3220</v>
      </c>
    </row>
    <row r="185" customFormat="false" ht="15.75" hidden="false" customHeight="true" outlineLevel="0" collapsed="false">
      <c r="A185" s="7" t="n">
        <v>46114</v>
      </c>
      <c r="B185" s="8" t="str">
        <f aca="false">TEXT(A185,"MMM YYYY")</f>
        <v>Apr 2026</v>
      </c>
      <c r="C185" s="9" t="s">
        <v>17</v>
      </c>
      <c r="D185" s="9" t="s">
        <v>15</v>
      </c>
      <c r="E185" s="9" t="s">
        <v>20</v>
      </c>
      <c r="F185" s="10" t="n">
        <v>1104</v>
      </c>
      <c r="G185" s="10" t="n">
        <v>75</v>
      </c>
      <c r="H185" s="10" t="n">
        <v>460</v>
      </c>
      <c r="I185" s="10" t="n">
        <v>21620</v>
      </c>
      <c r="J185" s="10" t="n">
        <v>71</v>
      </c>
      <c r="K185" s="10" t="n">
        <v>82800</v>
      </c>
    </row>
    <row r="186" customFormat="false" ht="15.75" hidden="false" customHeight="true" outlineLevel="0" collapsed="false">
      <c r="A186" s="3" t="n">
        <v>46115</v>
      </c>
      <c r="B186" s="4" t="str">
        <f aca="false">TEXT(A186,"MMM YYYY")</f>
        <v>Apr 2026</v>
      </c>
      <c r="C186" s="5" t="s">
        <v>11</v>
      </c>
      <c r="D186" s="5" t="s">
        <v>18</v>
      </c>
      <c r="E186" s="5" t="s">
        <v>16</v>
      </c>
      <c r="F186" s="6" t="n">
        <v>1380</v>
      </c>
      <c r="G186" s="6" t="n">
        <v>35</v>
      </c>
      <c r="H186" s="6" t="n">
        <v>736</v>
      </c>
      <c r="I186" s="6" t="n">
        <v>14444</v>
      </c>
      <c r="J186" s="6" t="n">
        <v>79</v>
      </c>
      <c r="K186" s="6" t="n">
        <v>48300</v>
      </c>
    </row>
    <row r="187" customFormat="false" ht="15.75" hidden="false" customHeight="true" outlineLevel="0" collapsed="false">
      <c r="A187" s="7" t="n">
        <v>46115</v>
      </c>
      <c r="B187" s="8" t="str">
        <f aca="false">TEXT(A187,"MMM YYYY")</f>
        <v>Apr 2026</v>
      </c>
      <c r="C187" s="9" t="s">
        <v>11</v>
      </c>
      <c r="D187" s="9" t="s">
        <v>12</v>
      </c>
      <c r="E187" s="9" t="s">
        <v>13</v>
      </c>
      <c r="F187" s="10" t="n">
        <v>368</v>
      </c>
      <c r="G187" s="10" t="n">
        <v>35</v>
      </c>
      <c r="H187" s="10" t="n">
        <v>1012</v>
      </c>
      <c r="I187" s="10" t="n">
        <v>46092</v>
      </c>
      <c r="J187" s="10" t="n">
        <v>58</v>
      </c>
      <c r="K187" s="10" t="n">
        <v>12880</v>
      </c>
    </row>
    <row r="188" customFormat="false" ht="15.75" hidden="false" customHeight="true" outlineLevel="0" collapsed="false">
      <c r="A188" s="3" t="n">
        <v>46115</v>
      </c>
      <c r="B188" s="4" t="str">
        <f aca="false">TEXT(A188,"MMM YYYY")</f>
        <v>Apr 2026</v>
      </c>
      <c r="C188" s="5" t="s">
        <v>14</v>
      </c>
      <c r="D188" s="5" t="s">
        <v>18</v>
      </c>
      <c r="E188" s="5" t="s">
        <v>13</v>
      </c>
      <c r="F188" s="6" t="n">
        <v>1656</v>
      </c>
      <c r="G188" s="6" t="n">
        <v>35</v>
      </c>
      <c r="H188" s="6" t="n">
        <v>736</v>
      </c>
      <c r="I188" s="6" t="n">
        <v>14444</v>
      </c>
      <c r="J188" s="6" t="n">
        <v>79</v>
      </c>
      <c r="K188" s="6" t="n">
        <v>57960</v>
      </c>
    </row>
    <row r="189" customFormat="false" ht="15.75" hidden="false" customHeight="true" outlineLevel="0" collapsed="false">
      <c r="A189" s="7" t="n">
        <v>46115</v>
      </c>
      <c r="B189" s="8" t="str">
        <f aca="false">TEXT(A189,"MMM YYYY")</f>
        <v>Apr 2026</v>
      </c>
      <c r="C189" s="9" t="s">
        <v>14</v>
      </c>
      <c r="D189" s="9" t="s">
        <v>19</v>
      </c>
      <c r="E189" s="9" t="s">
        <v>20</v>
      </c>
      <c r="F189" s="10" t="n">
        <v>460</v>
      </c>
      <c r="G189" s="10" t="n">
        <v>35</v>
      </c>
      <c r="H189" s="10" t="n">
        <v>828</v>
      </c>
      <c r="I189" s="10" t="n">
        <v>27048</v>
      </c>
      <c r="J189" s="10" t="n">
        <v>32</v>
      </c>
      <c r="K189" s="10" t="n">
        <v>16100</v>
      </c>
    </row>
    <row r="190" customFormat="false" ht="15.75" hidden="false" customHeight="true" outlineLevel="0" collapsed="false">
      <c r="A190" s="3" t="n">
        <v>46115</v>
      </c>
      <c r="B190" s="4" t="str">
        <f aca="false">TEXT(A190,"MMM YYYY")</f>
        <v>Apr 2026</v>
      </c>
      <c r="C190" s="5" t="s">
        <v>17</v>
      </c>
      <c r="D190" s="5" t="s">
        <v>12</v>
      </c>
      <c r="E190" s="5" t="s">
        <v>16</v>
      </c>
      <c r="F190" s="6" t="n">
        <v>1012</v>
      </c>
      <c r="G190" s="6" t="n">
        <v>50</v>
      </c>
      <c r="H190" s="6" t="n">
        <v>1012</v>
      </c>
      <c r="I190" s="6" t="n">
        <v>46092</v>
      </c>
      <c r="J190" s="6" t="n">
        <v>58</v>
      </c>
      <c r="K190" s="6" t="n">
        <v>50600</v>
      </c>
    </row>
    <row r="191" customFormat="false" ht="15.75" hidden="false" customHeight="true" outlineLevel="0" collapsed="false">
      <c r="A191" s="7" t="n">
        <v>46115</v>
      </c>
      <c r="B191" s="8" t="str">
        <f aca="false">TEXT(A191,"MMM YYYY")</f>
        <v>Apr 2026</v>
      </c>
      <c r="C191" s="9" t="s">
        <v>17</v>
      </c>
      <c r="D191" s="9" t="s">
        <v>15</v>
      </c>
      <c r="E191" s="9" t="s">
        <v>13</v>
      </c>
      <c r="F191" s="10" t="n">
        <v>552</v>
      </c>
      <c r="G191" s="10" t="n">
        <v>35</v>
      </c>
      <c r="H191" s="10" t="n">
        <v>644</v>
      </c>
      <c r="I191" s="10" t="n">
        <v>34592</v>
      </c>
      <c r="J191" s="10" t="n">
        <v>62</v>
      </c>
      <c r="K191" s="10" t="n">
        <v>19320</v>
      </c>
    </row>
    <row r="192" customFormat="false" ht="15.75" hidden="false" customHeight="true" outlineLevel="0" collapsed="false">
      <c r="A192" s="3" t="n">
        <v>46116</v>
      </c>
      <c r="B192" s="4" t="str">
        <f aca="false">TEXT(A192,"MMM YYYY")</f>
        <v>Apr 2026</v>
      </c>
      <c r="C192" s="5" t="s">
        <v>11</v>
      </c>
      <c r="D192" s="5" t="s">
        <v>18</v>
      </c>
      <c r="E192" s="5" t="s">
        <v>13</v>
      </c>
      <c r="F192" s="6" t="n">
        <v>736</v>
      </c>
      <c r="G192" s="6" t="n">
        <v>50</v>
      </c>
      <c r="H192" s="6" t="n">
        <v>736</v>
      </c>
      <c r="I192" s="6" t="n">
        <v>12420</v>
      </c>
      <c r="J192" s="6" t="n">
        <v>77</v>
      </c>
      <c r="K192" s="6" t="n">
        <v>36800</v>
      </c>
    </row>
    <row r="193" customFormat="false" ht="15.75" hidden="false" customHeight="true" outlineLevel="0" collapsed="false">
      <c r="A193" s="7" t="n">
        <v>46116</v>
      </c>
      <c r="B193" s="8" t="str">
        <f aca="false">TEXT(A193,"MMM YYYY")</f>
        <v>Apr 2026</v>
      </c>
      <c r="C193" s="9" t="s">
        <v>14</v>
      </c>
      <c r="D193" s="9" t="s">
        <v>18</v>
      </c>
      <c r="E193" s="9" t="s">
        <v>13</v>
      </c>
      <c r="F193" s="10" t="n">
        <v>552</v>
      </c>
      <c r="G193" s="10" t="n">
        <v>100</v>
      </c>
      <c r="H193" s="10" t="n">
        <v>736</v>
      </c>
      <c r="I193" s="10" t="n">
        <v>12420</v>
      </c>
      <c r="J193" s="10" t="n">
        <v>77</v>
      </c>
      <c r="K193" s="10" t="n">
        <v>55200</v>
      </c>
    </row>
    <row r="194" customFormat="false" ht="15.75" hidden="false" customHeight="true" outlineLevel="0" collapsed="false">
      <c r="A194" s="3" t="n">
        <v>46116</v>
      </c>
      <c r="B194" s="4" t="str">
        <f aca="false">TEXT(A194,"MMM YYYY")</f>
        <v>Apr 2026</v>
      </c>
      <c r="C194" s="5" t="s">
        <v>14</v>
      </c>
      <c r="D194" s="5" t="s">
        <v>21</v>
      </c>
      <c r="E194" s="5" t="s">
        <v>20</v>
      </c>
      <c r="F194" s="6" t="n">
        <v>1656</v>
      </c>
      <c r="G194" s="6" t="n">
        <v>100</v>
      </c>
      <c r="H194" s="6" t="n">
        <v>552</v>
      </c>
      <c r="I194" s="6" t="n">
        <v>25116</v>
      </c>
      <c r="J194" s="6" t="n">
        <v>35</v>
      </c>
      <c r="K194" s="6" t="n">
        <v>165600</v>
      </c>
    </row>
    <row r="195" customFormat="false" ht="15.75" hidden="false" customHeight="true" outlineLevel="0" collapsed="false">
      <c r="A195" s="7" t="n">
        <v>46116</v>
      </c>
      <c r="B195" s="8" t="str">
        <f aca="false">TEXT(A195,"MMM YYYY")</f>
        <v>Apr 2026</v>
      </c>
      <c r="C195" s="9" t="s">
        <v>14</v>
      </c>
      <c r="D195" s="9" t="s">
        <v>15</v>
      </c>
      <c r="E195" s="9" t="s">
        <v>13</v>
      </c>
      <c r="F195" s="10" t="n">
        <v>1564</v>
      </c>
      <c r="G195" s="10" t="n">
        <v>35</v>
      </c>
      <c r="H195" s="10" t="n">
        <v>1196</v>
      </c>
      <c r="I195" s="10" t="n">
        <v>28060</v>
      </c>
      <c r="J195" s="10" t="n">
        <v>60</v>
      </c>
      <c r="K195" s="10" t="n">
        <v>54740</v>
      </c>
    </row>
    <row r="196" customFormat="false" ht="15.75" hidden="false" customHeight="true" outlineLevel="0" collapsed="false">
      <c r="A196" s="3" t="n">
        <v>46116</v>
      </c>
      <c r="B196" s="4" t="str">
        <f aca="false">TEXT(A196,"MMM YYYY")</f>
        <v>Apr 2026</v>
      </c>
      <c r="C196" s="5" t="s">
        <v>17</v>
      </c>
      <c r="D196" s="5" t="s">
        <v>19</v>
      </c>
      <c r="E196" s="5" t="s">
        <v>13</v>
      </c>
      <c r="F196" s="6" t="n">
        <v>1564</v>
      </c>
      <c r="G196" s="6" t="n">
        <v>75</v>
      </c>
      <c r="H196" s="6" t="n">
        <v>644</v>
      </c>
      <c r="I196" s="6" t="n">
        <v>26220</v>
      </c>
      <c r="J196" s="6" t="n">
        <v>21</v>
      </c>
      <c r="K196" s="6" t="n">
        <v>117300</v>
      </c>
    </row>
    <row r="197" customFormat="false" ht="15.75" hidden="false" customHeight="true" outlineLevel="0" collapsed="false">
      <c r="A197" s="7" t="n">
        <v>46116</v>
      </c>
      <c r="B197" s="8" t="str">
        <f aca="false">TEXT(A197,"MMM YYYY")</f>
        <v>Apr 2026</v>
      </c>
      <c r="C197" s="9" t="s">
        <v>17</v>
      </c>
      <c r="D197" s="9" t="s">
        <v>19</v>
      </c>
      <c r="E197" s="9" t="s">
        <v>16</v>
      </c>
      <c r="F197" s="10" t="n">
        <v>276</v>
      </c>
      <c r="G197" s="10" t="n">
        <v>75</v>
      </c>
      <c r="H197" s="10" t="n">
        <v>644</v>
      </c>
      <c r="I197" s="10" t="n">
        <v>26220</v>
      </c>
      <c r="J197" s="10" t="n">
        <v>21</v>
      </c>
      <c r="K197" s="10" t="n">
        <v>20700</v>
      </c>
    </row>
    <row r="198" customFormat="false" ht="15.75" hidden="false" customHeight="true" outlineLevel="0" collapsed="false">
      <c r="A198" s="3" t="n">
        <v>46116</v>
      </c>
      <c r="B198" s="4" t="str">
        <f aca="false">TEXT(A198,"MMM YYYY")</f>
        <v>Apr 2026</v>
      </c>
      <c r="C198" s="5" t="s">
        <v>17</v>
      </c>
      <c r="D198" s="5" t="s">
        <v>21</v>
      </c>
      <c r="E198" s="5" t="s">
        <v>20</v>
      </c>
      <c r="F198" s="6" t="n">
        <v>1656</v>
      </c>
      <c r="G198" s="6" t="n">
        <v>50</v>
      </c>
      <c r="H198" s="6" t="n">
        <v>552</v>
      </c>
      <c r="I198" s="6" t="n">
        <v>25116</v>
      </c>
      <c r="J198" s="6" t="n">
        <v>35</v>
      </c>
      <c r="K198" s="6" t="n">
        <v>82800</v>
      </c>
    </row>
    <row r="199" customFormat="false" ht="15.75" hidden="false" customHeight="true" outlineLevel="0" collapsed="false">
      <c r="A199" s="7" t="n">
        <v>46117</v>
      </c>
      <c r="B199" s="8" t="str">
        <f aca="false">TEXT(A199,"MMM YYYY")</f>
        <v>Apr 2026</v>
      </c>
      <c r="C199" s="9" t="s">
        <v>11</v>
      </c>
      <c r="D199" s="9" t="s">
        <v>15</v>
      </c>
      <c r="E199" s="9" t="s">
        <v>13</v>
      </c>
      <c r="F199" s="10" t="n">
        <v>1656</v>
      </c>
      <c r="G199" s="10" t="n">
        <v>50</v>
      </c>
      <c r="H199" s="10" t="n">
        <v>1104</v>
      </c>
      <c r="I199" s="10" t="n">
        <v>6716</v>
      </c>
      <c r="J199" s="10" t="n">
        <v>70</v>
      </c>
      <c r="K199" s="10" t="n">
        <v>82800</v>
      </c>
    </row>
    <row r="200" customFormat="false" ht="15.75" hidden="false" customHeight="true" outlineLevel="0" collapsed="false">
      <c r="A200" s="3" t="n">
        <v>46117</v>
      </c>
      <c r="B200" s="4" t="str">
        <f aca="false">TEXT(A200,"MMM YYYY")</f>
        <v>Apr 2026</v>
      </c>
      <c r="C200" s="5" t="s">
        <v>14</v>
      </c>
      <c r="D200" s="5" t="s">
        <v>12</v>
      </c>
      <c r="E200" s="5" t="s">
        <v>20</v>
      </c>
      <c r="F200" s="6" t="n">
        <v>1380</v>
      </c>
      <c r="G200" s="6" t="n">
        <v>25</v>
      </c>
      <c r="H200" s="6" t="n">
        <v>1196</v>
      </c>
      <c r="I200" s="6" t="n">
        <v>36248</v>
      </c>
      <c r="J200" s="6" t="n">
        <v>44</v>
      </c>
      <c r="K200" s="6" t="n">
        <v>34500</v>
      </c>
    </row>
    <row r="201" customFormat="false" ht="15.75" hidden="false" customHeight="true" outlineLevel="0" collapsed="false">
      <c r="A201" s="7" t="n">
        <v>46117</v>
      </c>
      <c r="B201" s="8" t="str">
        <f aca="false">TEXT(A201,"MMM YYYY")</f>
        <v>Apr 2026</v>
      </c>
      <c r="C201" s="9" t="s">
        <v>17</v>
      </c>
      <c r="D201" s="9" t="s">
        <v>19</v>
      </c>
      <c r="E201" s="9" t="s">
        <v>16</v>
      </c>
      <c r="F201" s="10" t="n">
        <v>644</v>
      </c>
      <c r="G201" s="10" t="n">
        <v>100</v>
      </c>
      <c r="H201" s="10" t="n">
        <v>1012</v>
      </c>
      <c r="I201" s="10" t="n">
        <v>44988</v>
      </c>
      <c r="J201" s="10" t="n">
        <v>33</v>
      </c>
      <c r="K201" s="10" t="n">
        <v>64400</v>
      </c>
    </row>
    <row r="202" customFormat="false" ht="15.75" hidden="false" customHeight="true" outlineLevel="0" collapsed="false">
      <c r="A202" s="3" t="n">
        <v>46117</v>
      </c>
      <c r="B202" s="4" t="str">
        <f aca="false">TEXT(A202,"MMM YYYY")</f>
        <v>Apr 2026</v>
      </c>
      <c r="C202" s="5" t="s">
        <v>17</v>
      </c>
      <c r="D202" s="5" t="s">
        <v>12</v>
      </c>
      <c r="E202" s="5" t="s">
        <v>16</v>
      </c>
      <c r="F202" s="6" t="n">
        <v>92</v>
      </c>
      <c r="G202" s="6" t="n">
        <v>25</v>
      </c>
      <c r="H202" s="6" t="n">
        <v>1196</v>
      </c>
      <c r="I202" s="6" t="n">
        <v>36248</v>
      </c>
      <c r="J202" s="6" t="n">
        <v>44</v>
      </c>
      <c r="K202" s="6" t="n">
        <v>2300</v>
      </c>
    </row>
    <row r="203" customFormat="false" ht="15.75" hidden="false" customHeight="true" outlineLevel="0" collapsed="false">
      <c r="A203" s="7" t="n">
        <v>46118</v>
      </c>
      <c r="B203" s="8" t="str">
        <f aca="false">TEXT(A203,"MMM YYYY")</f>
        <v>Apr 2026</v>
      </c>
      <c r="C203" s="9" t="s">
        <v>11</v>
      </c>
      <c r="D203" s="9" t="s">
        <v>18</v>
      </c>
      <c r="E203" s="9" t="s">
        <v>13</v>
      </c>
      <c r="F203" s="10" t="n">
        <v>276</v>
      </c>
      <c r="G203" s="10" t="n">
        <v>75</v>
      </c>
      <c r="H203" s="10" t="n">
        <v>920</v>
      </c>
      <c r="I203" s="10" t="n">
        <v>12236</v>
      </c>
      <c r="J203" s="10" t="n">
        <v>80</v>
      </c>
      <c r="K203" s="10" t="n">
        <v>20700</v>
      </c>
    </row>
    <row r="204" customFormat="false" ht="15.75" hidden="false" customHeight="true" outlineLevel="0" collapsed="false">
      <c r="A204" s="3" t="n">
        <v>46118</v>
      </c>
      <c r="B204" s="4" t="str">
        <f aca="false">TEXT(A204,"MMM YYYY")</f>
        <v>Apr 2026</v>
      </c>
      <c r="C204" s="5" t="s">
        <v>11</v>
      </c>
      <c r="D204" s="5" t="s">
        <v>19</v>
      </c>
      <c r="E204" s="5" t="s">
        <v>20</v>
      </c>
      <c r="F204" s="6" t="n">
        <v>1472</v>
      </c>
      <c r="G204" s="6" t="n">
        <v>100</v>
      </c>
      <c r="H204" s="6" t="n">
        <v>1012</v>
      </c>
      <c r="I204" s="6" t="n">
        <v>17572</v>
      </c>
      <c r="J204" s="6" t="n">
        <v>15</v>
      </c>
      <c r="K204" s="6" t="n">
        <v>147200</v>
      </c>
    </row>
    <row r="205" customFormat="false" ht="15.75" hidden="false" customHeight="true" outlineLevel="0" collapsed="false">
      <c r="A205" s="7" t="n">
        <v>46118</v>
      </c>
      <c r="B205" s="8" t="str">
        <f aca="false">TEXT(A205,"MMM YYYY")</f>
        <v>Apr 2026</v>
      </c>
      <c r="C205" s="9" t="s">
        <v>11</v>
      </c>
      <c r="D205" s="9" t="s">
        <v>21</v>
      </c>
      <c r="E205" s="9" t="s">
        <v>16</v>
      </c>
      <c r="F205" s="10" t="n">
        <v>1104</v>
      </c>
      <c r="G205" s="10" t="n">
        <v>75</v>
      </c>
      <c r="H205" s="10" t="n">
        <v>1012</v>
      </c>
      <c r="I205" s="10" t="n">
        <v>5796</v>
      </c>
      <c r="J205" s="10" t="n">
        <v>41</v>
      </c>
      <c r="K205" s="10" t="n">
        <v>82800</v>
      </c>
    </row>
    <row r="206" customFormat="false" ht="15.75" hidden="false" customHeight="true" outlineLevel="0" collapsed="false">
      <c r="A206" s="3" t="n">
        <v>46118</v>
      </c>
      <c r="B206" s="4" t="str">
        <f aca="false">TEXT(A206,"MMM YYYY")</f>
        <v>Apr 2026</v>
      </c>
      <c r="C206" s="5" t="s">
        <v>11</v>
      </c>
      <c r="D206" s="5" t="s">
        <v>12</v>
      </c>
      <c r="E206" s="5" t="s">
        <v>20</v>
      </c>
      <c r="F206" s="6" t="n">
        <v>736</v>
      </c>
      <c r="G206" s="6" t="n">
        <v>75</v>
      </c>
      <c r="H206" s="6" t="n">
        <v>1196</v>
      </c>
      <c r="I206" s="6" t="n">
        <v>14812</v>
      </c>
      <c r="J206" s="6" t="n">
        <v>41</v>
      </c>
      <c r="K206" s="6" t="n">
        <v>55200</v>
      </c>
    </row>
    <row r="207" customFormat="false" ht="15.75" hidden="false" customHeight="true" outlineLevel="0" collapsed="false">
      <c r="A207" s="7" t="n">
        <v>46118</v>
      </c>
      <c r="B207" s="8" t="str">
        <f aca="false">TEXT(A207,"MMM YYYY")</f>
        <v>Apr 2026</v>
      </c>
      <c r="C207" s="9" t="s">
        <v>11</v>
      </c>
      <c r="D207" s="9" t="s">
        <v>15</v>
      </c>
      <c r="E207" s="9" t="s">
        <v>16</v>
      </c>
      <c r="F207" s="10" t="n">
        <v>368</v>
      </c>
      <c r="G207" s="10" t="n">
        <v>25</v>
      </c>
      <c r="H207" s="10" t="n">
        <v>1288</v>
      </c>
      <c r="I207" s="10" t="n">
        <v>19136</v>
      </c>
      <c r="J207" s="10" t="n">
        <v>69</v>
      </c>
      <c r="K207" s="10" t="n">
        <v>9200</v>
      </c>
    </row>
    <row r="208" customFormat="false" ht="15.75" hidden="false" customHeight="true" outlineLevel="0" collapsed="false">
      <c r="A208" s="3" t="n">
        <v>46118</v>
      </c>
      <c r="B208" s="4" t="str">
        <f aca="false">TEXT(A208,"MMM YYYY")</f>
        <v>Apr 2026</v>
      </c>
      <c r="C208" s="5" t="s">
        <v>14</v>
      </c>
      <c r="D208" s="5" t="s">
        <v>18</v>
      </c>
      <c r="E208" s="5" t="s">
        <v>20</v>
      </c>
      <c r="F208" s="6" t="n">
        <v>644</v>
      </c>
      <c r="G208" s="6" t="n">
        <v>50</v>
      </c>
      <c r="H208" s="6" t="n">
        <v>920</v>
      </c>
      <c r="I208" s="6" t="n">
        <v>12236</v>
      </c>
      <c r="J208" s="6" t="n">
        <v>80</v>
      </c>
      <c r="K208" s="6" t="n">
        <v>32200</v>
      </c>
    </row>
    <row r="209" customFormat="false" ht="15.75" hidden="false" customHeight="true" outlineLevel="0" collapsed="false">
      <c r="A209" s="7" t="n">
        <v>46118</v>
      </c>
      <c r="B209" s="8" t="str">
        <f aca="false">TEXT(A209,"MMM YYYY")</f>
        <v>Apr 2026</v>
      </c>
      <c r="C209" s="9" t="s">
        <v>17</v>
      </c>
      <c r="D209" s="9" t="s">
        <v>18</v>
      </c>
      <c r="E209" s="9" t="s">
        <v>20</v>
      </c>
      <c r="F209" s="10" t="n">
        <v>552</v>
      </c>
      <c r="G209" s="10" t="n">
        <v>50</v>
      </c>
      <c r="H209" s="10" t="n">
        <v>920</v>
      </c>
      <c r="I209" s="10" t="n">
        <v>12236</v>
      </c>
      <c r="J209" s="10" t="n">
        <v>80</v>
      </c>
      <c r="K209" s="10" t="n">
        <v>27600</v>
      </c>
    </row>
    <row r="210" customFormat="false" ht="15.75" hidden="false" customHeight="true" outlineLevel="0" collapsed="false">
      <c r="A210" s="3" t="n">
        <v>46119</v>
      </c>
      <c r="B210" s="4" t="str">
        <f aca="false">TEXT(A210,"MMM YYYY")</f>
        <v>Apr 2026</v>
      </c>
      <c r="C210" s="5" t="s">
        <v>11</v>
      </c>
      <c r="D210" s="5" t="s">
        <v>18</v>
      </c>
      <c r="E210" s="5" t="s">
        <v>16</v>
      </c>
      <c r="F210" s="6" t="n">
        <v>1564</v>
      </c>
      <c r="G210" s="6" t="n">
        <v>75</v>
      </c>
      <c r="H210" s="6" t="n">
        <v>1196</v>
      </c>
      <c r="I210" s="6" t="n">
        <v>67344</v>
      </c>
      <c r="J210" s="6" t="n">
        <v>77</v>
      </c>
      <c r="K210" s="6" t="n">
        <v>117300</v>
      </c>
    </row>
    <row r="211" customFormat="false" ht="15.75" hidden="false" customHeight="true" outlineLevel="0" collapsed="false">
      <c r="A211" s="7" t="n">
        <v>46119</v>
      </c>
      <c r="B211" s="8" t="str">
        <f aca="false">TEXT(A211,"MMM YYYY")</f>
        <v>Apr 2026</v>
      </c>
      <c r="C211" s="9" t="s">
        <v>11</v>
      </c>
      <c r="D211" s="9" t="s">
        <v>12</v>
      </c>
      <c r="E211" s="9" t="s">
        <v>13</v>
      </c>
      <c r="F211" s="10" t="n">
        <v>1656</v>
      </c>
      <c r="G211" s="10" t="n">
        <v>25</v>
      </c>
      <c r="H211" s="10" t="n">
        <v>736</v>
      </c>
      <c r="I211" s="10" t="n">
        <v>11500</v>
      </c>
      <c r="J211" s="10" t="n">
        <v>57</v>
      </c>
      <c r="K211" s="10" t="n">
        <v>41400</v>
      </c>
    </row>
    <row r="212" customFormat="false" ht="15.75" hidden="false" customHeight="true" outlineLevel="0" collapsed="false">
      <c r="A212" s="3" t="n">
        <v>46119</v>
      </c>
      <c r="B212" s="4" t="str">
        <f aca="false">TEXT(A212,"MMM YYYY")</f>
        <v>Apr 2026</v>
      </c>
      <c r="C212" s="5" t="s">
        <v>11</v>
      </c>
      <c r="D212" s="5" t="s">
        <v>15</v>
      </c>
      <c r="E212" s="5" t="s">
        <v>16</v>
      </c>
      <c r="F212" s="6" t="n">
        <v>552</v>
      </c>
      <c r="G212" s="6" t="n">
        <v>50</v>
      </c>
      <c r="H212" s="6" t="n">
        <v>1288</v>
      </c>
      <c r="I212" s="6" t="n">
        <v>44896</v>
      </c>
      <c r="J212" s="6" t="n">
        <v>66</v>
      </c>
      <c r="K212" s="6" t="n">
        <v>32200</v>
      </c>
    </row>
    <row r="213" customFormat="false" ht="15.75" hidden="false" customHeight="true" outlineLevel="0" collapsed="false">
      <c r="A213" s="7" t="n">
        <v>46119</v>
      </c>
      <c r="B213" s="8" t="str">
        <f aca="false">TEXT(A213,"MMM YYYY")</f>
        <v>Apr 2026</v>
      </c>
      <c r="C213" s="9" t="s">
        <v>14</v>
      </c>
      <c r="D213" s="9" t="s">
        <v>15</v>
      </c>
      <c r="E213" s="9" t="s">
        <v>20</v>
      </c>
      <c r="F213" s="10" t="n">
        <v>1104</v>
      </c>
      <c r="G213" s="10" t="n">
        <v>75</v>
      </c>
      <c r="H213" s="10" t="n">
        <v>644</v>
      </c>
      <c r="I213" s="10" t="n">
        <v>22448</v>
      </c>
      <c r="J213" s="10" t="n">
        <v>66</v>
      </c>
      <c r="K213" s="10" t="n">
        <v>82800</v>
      </c>
    </row>
    <row r="214" customFormat="false" ht="15.75" hidden="false" customHeight="true" outlineLevel="0" collapsed="false">
      <c r="A214" s="3" t="n">
        <v>46119</v>
      </c>
      <c r="B214" s="4" t="str">
        <f aca="false">TEXT(A214,"MMM YYYY")</f>
        <v>Apr 2026</v>
      </c>
      <c r="C214" s="5" t="s">
        <v>17</v>
      </c>
      <c r="D214" s="5" t="s">
        <v>15</v>
      </c>
      <c r="E214" s="5" t="s">
        <v>20</v>
      </c>
      <c r="F214" s="6" t="n">
        <v>1656</v>
      </c>
      <c r="G214" s="6" t="n">
        <v>35</v>
      </c>
      <c r="H214" s="6" t="n">
        <v>644</v>
      </c>
      <c r="I214" s="6" t="n">
        <v>22448</v>
      </c>
      <c r="J214" s="6" t="n">
        <v>66</v>
      </c>
      <c r="K214" s="6" t="n">
        <v>57960</v>
      </c>
    </row>
    <row r="215" customFormat="false" ht="15.75" hidden="false" customHeight="true" outlineLevel="0" collapsed="false">
      <c r="A215" s="7" t="n">
        <v>46120</v>
      </c>
      <c r="B215" s="8" t="str">
        <f aca="false">TEXT(A215,"MMM YYYY")</f>
        <v>Apr 2026</v>
      </c>
      <c r="C215" s="9" t="s">
        <v>11</v>
      </c>
      <c r="D215" s="9" t="s">
        <v>18</v>
      </c>
      <c r="E215" s="9" t="s">
        <v>16</v>
      </c>
      <c r="F215" s="10" t="n">
        <v>1840</v>
      </c>
      <c r="G215" s="10" t="n">
        <v>50</v>
      </c>
      <c r="H215" s="10" t="n">
        <v>1012</v>
      </c>
      <c r="I215" s="10" t="n">
        <v>31004</v>
      </c>
      <c r="J215" s="10" t="n">
        <v>78</v>
      </c>
      <c r="K215" s="10" t="n">
        <v>92000</v>
      </c>
    </row>
    <row r="216" customFormat="false" ht="15.75" hidden="false" customHeight="true" outlineLevel="0" collapsed="false">
      <c r="A216" s="3" t="n">
        <v>46120</v>
      </c>
      <c r="B216" s="4" t="str">
        <f aca="false">TEXT(A216,"MMM YYYY")</f>
        <v>Apr 2026</v>
      </c>
      <c r="C216" s="5" t="s">
        <v>14</v>
      </c>
      <c r="D216" s="5" t="s">
        <v>19</v>
      </c>
      <c r="E216" s="5" t="s">
        <v>20</v>
      </c>
      <c r="F216" s="6" t="n">
        <v>1748</v>
      </c>
      <c r="G216" s="6" t="n">
        <v>50</v>
      </c>
      <c r="H216" s="6" t="n">
        <v>1288</v>
      </c>
      <c r="I216" s="6" t="n">
        <v>51428</v>
      </c>
      <c r="J216" s="6" t="n">
        <v>32</v>
      </c>
      <c r="K216" s="6" t="n">
        <v>87400</v>
      </c>
    </row>
    <row r="217" customFormat="false" ht="15.75" hidden="false" customHeight="true" outlineLevel="0" collapsed="false">
      <c r="A217" s="7" t="n">
        <v>46120</v>
      </c>
      <c r="B217" s="8" t="str">
        <f aca="false">TEXT(A217,"MMM YYYY")</f>
        <v>Apr 2026</v>
      </c>
      <c r="C217" s="9" t="s">
        <v>17</v>
      </c>
      <c r="D217" s="9" t="s">
        <v>19</v>
      </c>
      <c r="E217" s="9" t="s">
        <v>13</v>
      </c>
      <c r="F217" s="10" t="n">
        <v>1840</v>
      </c>
      <c r="G217" s="10" t="n">
        <v>100</v>
      </c>
      <c r="H217" s="10" t="n">
        <v>1288</v>
      </c>
      <c r="I217" s="10" t="n">
        <v>51428</v>
      </c>
      <c r="J217" s="10" t="n">
        <v>32</v>
      </c>
      <c r="K217" s="10" t="n">
        <v>184000</v>
      </c>
    </row>
    <row r="218" customFormat="false" ht="15.75" hidden="false" customHeight="true" outlineLevel="0" collapsed="false">
      <c r="A218" s="3" t="n">
        <v>46120</v>
      </c>
      <c r="B218" s="4" t="str">
        <f aca="false">TEXT(A218,"MMM YYYY")</f>
        <v>Apr 2026</v>
      </c>
      <c r="C218" s="5" t="s">
        <v>17</v>
      </c>
      <c r="D218" s="5" t="s">
        <v>19</v>
      </c>
      <c r="E218" s="5" t="s">
        <v>20</v>
      </c>
      <c r="F218" s="6" t="n">
        <v>460</v>
      </c>
      <c r="G218" s="6" t="n">
        <v>50</v>
      </c>
      <c r="H218" s="6" t="n">
        <v>1288</v>
      </c>
      <c r="I218" s="6" t="n">
        <v>51428</v>
      </c>
      <c r="J218" s="6" t="n">
        <v>32</v>
      </c>
      <c r="K218" s="6" t="n">
        <v>23000</v>
      </c>
    </row>
    <row r="219" customFormat="false" ht="15.75" hidden="false" customHeight="true" outlineLevel="0" collapsed="false">
      <c r="A219" s="7" t="n">
        <v>46120</v>
      </c>
      <c r="B219" s="8" t="str">
        <f aca="false">TEXT(A219,"MMM YYYY")</f>
        <v>Apr 2026</v>
      </c>
      <c r="C219" s="9" t="s">
        <v>17</v>
      </c>
      <c r="D219" s="9" t="s">
        <v>15</v>
      </c>
      <c r="E219" s="9" t="s">
        <v>20</v>
      </c>
      <c r="F219" s="10" t="n">
        <v>1564</v>
      </c>
      <c r="G219" s="10" t="n">
        <v>35</v>
      </c>
      <c r="H219" s="10" t="n">
        <v>552</v>
      </c>
      <c r="I219" s="10" t="n">
        <v>22540</v>
      </c>
      <c r="J219" s="10" t="n">
        <v>70</v>
      </c>
      <c r="K219" s="10" t="n">
        <v>54740</v>
      </c>
    </row>
    <row r="220" customFormat="false" ht="15.75" hidden="false" customHeight="true" outlineLevel="0" collapsed="false">
      <c r="A220" s="3" t="n">
        <v>46121</v>
      </c>
      <c r="B220" s="4" t="str">
        <f aca="false">TEXT(A220,"MMM YYYY")</f>
        <v>Apr 2026</v>
      </c>
      <c r="C220" s="5" t="s">
        <v>17</v>
      </c>
      <c r="D220" s="5" t="s">
        <v>18</v>
      </c>
      <c r="E220" s="5" t="s">
        <v>13</v>
      </c>
      <c r="F220" s="6" t="n">
        <v>2208</v>
      </c>
      <c r="G220" s="6" t="n">
        <v>37.5</v>
      </c>
      <c r="H220" s="6" t="n">
        <v>1656</v>
      </c>
      <c r="I220" s="6" t="n">
        <v>87216</v>
      </c>
      <c r="J220" s="6" t="n">
        <v>89</v>
      </c>
      <c r="K220" s="6" t="n">
        <v>92000</v>
      </c>
    </row>
    <row r="221" customFormat="false" ht="15.75" hidden="false" customHeight="true" outlineLevel="0" collapsed="false">
      <c r="A221" s="7" t="n">
        <v>46121</v>
      </c>
      <c r="B221" s="8" t="str">
        <f aca="false">TEXT(A221,"MMM YYYY")</f>
        <v>Apr 2026</v>
      </c>
      <c r="C221" s="9" t="s">
        <v>17</v>
      </c>
      <c r="D221" s="9" t="s">
        <v>18</v>
      </c>
      <c r="E221" s="9" t="s">
        <v>16</v>
      </c>
      <c r="F221" s="10" t="n">
        <v>1472</v>
      </c>
      <c r="G221" s="10" t="n">
        <v>35</v>
      </c>
      <c r="H221" s="10" t="n">
        <v>828</v>
      </c>
      <c r="I221" s="10" t="n">
        <v>43608</v>
      </c>
      <c r="J221" s="10" t="n">
        <v>89</v>
      </c>
      <c r="K221" s="10" t="n">
        <v>51520</v>
      </c>
    </row>
    <row r="222" customFormat="false" ht="15.75" hidden="false" customHeight="true" outlineLevel="0" collapsed="false">
      <c r="A222" s="3" t="n">
        <v>46122</v>
      </c>
      <c r="B222" s="4" t="str">
        <f aca="false">TEXT(A222,"MMM YYYY")</f>
        <v>Apr 2026</v>
      </c>
      <c r="C222" s="5" t="s">
        <v>11</v>
      </c>
      <c r="D222" s="5" t="s">
        <v>18</v>
      </c>
      <c r="E222" s="5" t="s">
        <v>13</v>
      </c>
      <c r="F222" s="6" t="n">
        <v>1104</v>
      </c>
      <c r="G222" s="6" t="n">
        <v>50</v>
      </c>
      <c r="H222" s="6" t="n">
        <v>1288</v>
      </c>
      <c r="I222" s="6" t="n">
        <v>34500</v>
      </c>
      <c r="J222" s="6" t="n">
        <v>83</v>
      </c>
      <c r="K222" s="6" t="n">
        <v>55200</v>
      </c>
    </row>
    <row r="223" customFormat="false" ht="15.75" hidden="false" customHeight="true" outlineLevel="0" collapsed="false">
      <c r="A223" s="7" t="n">
        <v>46122</v>
      </c>
      <c r="B223" s="8" t="str">
        <f aca="false">TEXT(A223,"MMM YYYY")</f>
        <v>Apr 2026</v>
      </c>
      <c r="C223" s="9" t="s">
        <v>11</v>
      </c>
      <c r="D223" s="9" t="s">
        <v>19</v>
      </c>
      <c r="E223" s="9" t="s">
        <v>16</v>
      </c>
      <c r="F223" s="10" t="n">
        <v>1472</v>
      </c>
      <c r="G223" s="10" t="n">
        <v>50</v>
      </c>
      <c r="H223" s="10" t="n">
        <v>736</v>
      </c>
      <c r="I223" s="10" t="n">
        <v>24564</v>
      </c>
      <c r="J223" s="10" t="n">
        <v>35</v>
      </c>
      <c r="K223" s="10" t="n">
        <v>73600</v>
      </c>
    </row>
    <row r="224" customFormat="false" ht="15.75" hidden="false" customHeight="true" outlineLevel="0" collapsed="false">
      <c r="A224" s="3" t="n">
        <v>46122</v>
      </c>
      <c r="B224" s="4" t="str">
        <f aca="false">TEXT(A224,"MMM YYYY")</f>
        <v>Apr 2026</v>
      </c>
      <c r="C224" s="5" t="s">
        <v>11</v>
      </c>
      <c r="D224" s="5" t="s">
        <v>21</v>
      </c>
      <c r="E224" s="5" t="s">
        <v>20</v>
      </c>
      <c r="F224" s="6" t="n">
        <v>1656</v>
      </c>
      <c r="G224" s="6" t="n">
        <v>50</v>
      </c>
      <c r="H224" s="6" t="n">
        <v>736</v>
      </c>
      <c r="I224" s="6" t="n">
        <v>19412</v>
      </c>
      <c r="J224" s="6" t="n">
        <v>35</v>
      </c>
      <c r="K224" s="6" t="n">
        <v>82800</v>
      </c>
    </row>
    <row r="225" customFormat="false" ht="15.75" hidden="false" customHeight="true" outlineLevel="0" collapsed="false">
      <c r="A225" s="7" t="n">
        <v>46122</v>
      </c>
      <c r="B225" s="8" t="str">
        <f aca="false">TEXT(A225,"MMM YYYY")</f>
        <v>Apr 2026</v>
      </c>
      <c r="C225" s="9" t="s">
        <v>11</v>
      </c>
      <c r="D225" s="9" t="s">
        <v>21</v>
      </c>
      <c r="E225" s="9" t="s">
        <v>16</v>
      </c>
      <c r="F225" s="10" t="n">
        <v>2208</v>
      </c>
      <c r="G225" s="10" t="n">
        <v>62.5</v>
      </c>
      <c r="H225" s="10" t="n">
        <v>1472</v>
      </c>
      <c r="I225" s="10" t="n">
        <v>38824</v>
      </c>
      <c r="J225" s="10" t="n">
        <v>35</v>
      </c>
      <c r="K225" s="10" t="n">
        <v>135700</v>
      </c>
    </row>
    <row r="226" customFormat="false" ht="15.75" hidden="false" customHeight="true" outlineLevel="0" collapsed="false">
      <c r="A226" s="3" t="n">
        <v>46122</v>
      </c>
      <c r="B226" s="4" t="str">
        <f aca="false">TEXT(A226,"MMM YYYY")</f>
        <v>Apr 2026</v>
      </c>
      <c r="C226" s="5" t="s">
        <v>17</v>
      </c>
      <c r="D226" s="5" t="s">
        <v>19</v>
      </c>
      <c r="E226" s="5" t="s">
        <v>16</v>
      </c>
      <c r="F226" s="6" t="n">
        <v>1564</v>
      </c>
      <c r="G226" s="6" t="n">
        <v>100</v>
      </c>
      <c r="H226" s="6" t="n">
        <v>736</v>
      </c>
      <c r="I226" s="6" t="n">
        <v>24564</v>
      </c>
      <c r="J226" s="6" t="n">
        <v>35</v>
      </c>
      <c r="K226" s="6" t="n">
        <v>156400</v>
      </c>
    </row>
    <row r="227" customFormat="false" ht="15.75" hidden="false" customHeight="true" outlineLevel="0" collapsed="false">
      <c r="A227" s="7" t="n">
        <v>46122</v>
      </c>
      <c r="B227" s="8" t="str">
        <f aca="false">TEXT(A227,"MMM YYYY")</f>
        <v>Apr 2026</v>
      </c>
      <c r="C227" s="9" t="s">
        <v>17</v>
      </c>
      <c r="D227" s="9" t="s">
        <v>21</v>
      </c>
      <c r="E227" s="9" t="s">
        <v>20</v>
      </c>
      <c r="F227" s="10" t="n">
        <v>460</v>
      </c>
      <c r="G227" s="10" t="n">
        <v>100</v>
      </c>
      <c r="H227" s="10" t="n">
        <v>736</v>
      </c>
      <c r="I227" s="10" t="n">
        <v>19412</v>
      </c>
      <c r="J227" s="10" t="n">
        <v>35</v>
      </c>
      <c r="K227" s="10" t="n">
        <v>46000</v>
      </c>
    </row>
    <row r="228" customFormat="false" ht="15.75" hidden="false" customHeight="true" outlineLevel="0" collapsed="false">
      <c r="A228" s="3" t="n">
        <v>46123</v>
      </c>
      <c r="B228" s="4" t="str">
        <f aca="false">TEXT(A228,"MMM YYYY")</f>
        <v>Apr 2026</v>
      </c>
      <c r="C228" s="5" t="s">
        <v>11</v>
      </c>
      <c r="D228" s="5" t="s">
        <v>19</v>
      </c>
      <c r="E228" s="5" t="s">
        <v>20</v>
      </c>
      <c r="F228" s="6" t="n">
        <v>1748</v>
      </c>
      <c r="G228" s="6" t="n">
        <v>100</v>
      </c>
      <c r="H228" s="6" t="n">
        <v>1472</v>
      </c>
      <c r="I228" s="6" t="n">
        <v>36892</v>
      </c>
      <c r="J228" s="6" t="n">
        <v>33</v>
      </c>
      <c r="K228" s="6" t="n">
        <v>174800</v>
      </c>
    </row>
    <row r="229" customFormat="false" ht="15.75" hidden="false" customHeight="true" outlineLevel="0" collapsed="false">
      <c r="A229" s="7" t="n">
        <v>46123</v>
      </c>
      <c r="B229" s="8" t="str">
        <f aca="false">TEXT(A229,"MMM YYYY")</f>
        <v>Apr 2026</v>
      </c>
      <c r="C229" s="9" t="s">
        <v>11</v>
      </c>
      <c r="D229" s="9" t="s">
        <v>12</v>
      </c>
      <c r="E229" s="9" t="s">
        <v>20</v>
      </c>
      <c r="F229" s="10" t="n">
        <v>184</v>
      </c>
      <c r="G229" s="10" t="n">
        <v>50</v>
      </c>
      <c r="H229" s="10" t="n">
        <v>920</v>
      </c>
      <c r="I229" s="10" t="n">
        <v>9476</v>
      </c>
      <c r="J229" s="10" t="n">
        <v>42</v>
      </c>
      <c r="K229" s="10" t="n">
        <v>9200</v>
      </c>
    </row>
    <row r="230" customFormat="false" ht="15.75" hidden="false" customHeight="true" outlineLevel="0" collapsed="false">
      <c r="A230" s="3" t="n">
        <v>46123</v>
      </c>
      <c r="B230" s="4" t="str">
        <f aca="false">TEXT(A230,"MMM YYYY")</f>
        <v>Apr 2026</v>
      </c>
      <c r="C230" s="5" t="s">
        <v>14</v>
      </c>
      <c r="D230" s="5" t="s">
        <v>18</v>
      </c>
      <c r="E230" s="5" t="s">
        <v>13</v>
      </c>
      <c r="F230" s="6" t="n">
        <v>368</v>
      </c>
      <c r="G230" s="6" t="n">
        <v>100</v>
      </c>
      <c r="H230" s="6" t="n">
        <v>920</v>
      </c>
      <c r="I230" s="6" t="n">
        <v>18492</v>
      </c>
      <c r="J230" s="6" t="n">
        <v>75</v>
      </c>
      <c r="K230" s="6" t="n">
        <v>36800</v>
      </c>
    </row>
    <row r="231" customFormat="false" ht="15.75" hidden="false" customHeight="true" outlineLevel="0" collapsed="false">
      <c r="A231" s="7" t="n">
        <v>46123</v>
      </c>
      <c r="B231" s="8" t="str">
        <f aca="false">TEXT(A231,"MMM YYYY")</f>
        <v>Apr 2026</v>
      </c>
      <c r="C231" s="9" t="s">
        <v>17</v>
      </c>
      <c r="D231" s="9" t="s">
        <v>21</v>
      </c>
      <c r="E231" s="9" t="s">
        <v>20</v>
      </c>
      <c r="F231" s="10" t="n">
        <v>1472</v>
      </c>
      <c r="G231" s="10" t="n">
        <v>35</v>
      </c>
      <c r="H231" s="10" t="n">
        <v>828</v>
      </c>
      <c r="I231" s="10" t="n">
        <v>17664</v>
      </c>
      <c r="J231" s="10" t="n">
        <v>45</v>
      </c>
      <c r="K231" s="10" t="n">
        <v>51520</v>
      </c>
    </row>
    <row r="232" customFormat="false" ht="15.75" hidden="false" customHeight="true" outlineLevel="0" collapsed="false">
      <c r="A232" s="3" t="n">
        <v>46124</v>
      </c>
      <c r="B232" s="4" t="str">
        <f aca="false">TEXT(A232,"MMM YYYY")</f>
        <v>Apr 2026</v>
      </c>
      <c r="C232" s="5" t="s">
        <v>11</v>
      </c>
      <c r="D232" s="5" t="s">
        <v>21</v>
      </c>
      <c r="E232" s="5" t="s">
        <v>20</v>
      </c>
      <c r="F232" s="6" t="n">
        <v>1472</v>
      </c>
      <c r="G232" s="6" t="n">
        <v>75</v>
      </c>
      <c r="H232" s="6" t="n">
        <v>460</v>
      </c>
      <c r="I232" s="6" t="n">
        <v>7636</v>
      </c>
      <c r="J232" s="6" t="n">
        <v>30</v>
      </c>
      <c r="K232" s="6" t="n">
        <v>110400</v>
      </c>
    </row>
    <row r="233" customFormat="false" ht="15.75" hidden="false" customHeight="true" outlineLevel="0" collapsed="false">
      <c r="A233" s="7" t="n">
        <v>46124</v>
      </c>
      <c r="B233" s="8" t="str">
        <f aca="false">TEXT(A233,"MMM YYYY")</f>
        <v>Apr 2026</v>
      </c>
      <c r="C233" s="9" t="s">
        <v>11</v>
      </c>
      <c r="D233" s="9" t="s">
        <v>12</v>
      </c>
      <c r="E233" s="9" t="s">
        <v>20</v>
      </c>
      <c r="F233" s="10" t="n">
        <v>1288</v>
      </c>
      <c r="G233" s="10" t="n">
        <v>35</v>
      </c>
      <c r="H233" s="10" t="n">
        <v>644</v>
      </c>
      <c r="I233" s="10" t="n">
        <v>33856</v>
      </c>
      <c r="J233" s="10" t="n">
        <v>48</v>
      </c>
      <c r="K233" s="10" t="n">
        <v>45080</v>
      </c>
    </row>
    <row r="234" customFormat="false" ht="15.75" hidden="false" customHeight="true" outlineLevel="0" collapsed="false">
      <c r="A234" s="3" t="n">
        <v>46124</v>
      </c>
      <c r="B234" s="4" t="str">
        <f aca="false">TEXT(A234,"MMM YYYY")</f>
        <v>Apr 2026</v>
      </c>
      <c r="C234" s="5" t="s">
        <v>11</v>
      </c>
      <c r="D234" s="5" t="s">
        <v>12</v>
      </c>
      <c r="E234" s="5" t="s">
        <v>16</v>
      </c>
      <c r="F234" s="6" t="n">
        <v>920</v>
      </c>
      <c r="G234" s="6" t="n">
        <v>25</v>
      </c>
      <c r="H234" s="6" t="n">
        <v>644</v>
      </c>
      <c r="I234" s="6" t="n">
        <v>33856</v>
      </c>
      <c r="J234" s="6" t="n">
        <v>48</v>
      </c>
      <c r="K234" s="6" t="n">
        <v>23000</v>
      </c>
    </row>
    <row r="235" customFormat="false" ht="15.75" hidden="false" customHeight="true" outlineLevel="0" collapsed="false">
      <c r="A235" s="7" t="n">
        <v>46124</v>
      </c>
      <c r="B235" s="8" t="str">
        <f aca="false">TEXT(A235,"MMM YYYY")</f>
        <v>Apr 2026</v>
      </c>
      <c r="C235" s="9" t="s">
        <v>14</v>
      </c>
      <c r="D235" s="9" t="s">
        <v>18</v>
      </c>
      <c r="E235" s="9" t="s">
        <v>16</v>
      </c>
      <c r="F235" s="10" t="n">
        <v>184</v>
      </c>
      <c r="G235" s="10" t="n">
        <v>25</v>
      </c>
      <c r="H235" s="10" t="n">
        <v>1196</v>
      </c>
      <c r="I235" s="10" t="n">
        <v>17388</v>
      </c>
      <c r="J235" s="10" t="n">
        <v>72</v>
      </c>
      <c r="K235" s="10" t="n">
        <v>4600</v>
      </c>
    </row>
    <row r="236" customFormat="false" ht="15.75" hidden="false" customHeight="true" outlineLevel="0" collapsed="false">
      <c r="A236" s="3" t="n">
        <v>46124</v>
      </c>
      <c r="B236" s="4" t="str">
        <f aca="false">TEXT(A236,"MMM YYYY")</f>
        <v>Apr 2026</v>
      </c>
      <c r="C236" s="5" t="s">
        <v>14</v>
      </c>
      <c r="D236" s="5" t="s">
        <v>21</v>
      </c>
      <c r="E236" s="5" t="s">
        <v>20</v>
      </c>
      <c r="F236" s="6" t="n">
        <v>1380</v>
      </c>
      <c r="G236" s="6" t="n">
        <v>50</v>
      </c>
      <c r="H236" s="6" t="n">
        <v>460</v>
      </c>
      <c r="I236" s="6" t="n">
        <v>7636</v>
      </c>
      <c r="J236" s="6" t="n">
        <v>30</v>
      </c>
      <c r="K236" s="6" t="n">
        <v>69000</v>
      </c>
    </row>
    <row r="237" customFormat="false" ht="15.75" hidden="false" customHeight="true" outlineLevel="0" collapsed="false">
      <c r="A237" s="7" t="n">
        <v>46124</v>
      </c>
      <c r="B237" s="8" t="str">
        <f aca="false">TEXT(A237,"MMM YYYY")</f>
        <v>Apr 2026</v>
      </c>
      <c r="C237" s="9" t="s">
        <v>14</v>
      </c>
      <c r="D237" s="9" t="s">
        <v>21</v>
      </c>
      <c r="E237" s="9" t="s">
        <v>16</v>
      </c>
      <c r="F237" s="10" t="n">
        <v>1472</v>
      </c>
      <c r="G237" s="10" t="n">
        <v>25</v>
      </c>
      <c r="H237" s="10" t="n">
        <v>460</v>
      </c>
      <c r="I237" s="10" t="n">
        <v>7636</v>
      </c>
      <c r="J237" s="10" t="n">
        <v>30</v>
      </c>
      <c r="K237" s="10" t="n">
        <v>36800</v>
      </c>
    </row>
    <row r="238" customFormat="false" ht="15.75" hidden="false" customHeight="true" outlineLevel="0" collapsed="false">
      <c r="A238" s="3" t="n">
        <v>46124</v>
      </c>
      <c r="B238" s="4" t="str">
        <f aca="false">TEXT(A238,"MMM YYYY")</f>
        <v>Apr 2026</v>
      </c>
      <c r="C238" s="5" t="s">
        <v>14</v>
      </c>
      <c r="D238" s="5" t="s">
        <v>12</v>
      </c>
      <c r="E238" s="5" t="s">
        <v>20</v>
      </c>
      <c r="F238" s="6" t="n">
        <v>736</v>
      </c>
      <c r="G238" s="6" t="n">
        <v>35</v>
      </c>
      <c r="H238" s="6" t="n">
        <v>644</v>
      </c>
      <c r="I238" s="6" t="n">
        <v>33856</v>
      </c>
      <c r="J238" s="6" t="n">
        <v>48</v>
      </c>
      <c r="K238" s="6" t="n">
        <v>25760</v>
      </c>
    </row>
    <row r="239" customFormat="false" ht="15.75" hidden="false" customHeight="true" outlineLevel="0" collapsed="false">
      <c r="A239" s="7" t="n">
        <v>46124</v>
      </c>
      <c r="B239" s="8" t="str">
        <f aca="false">TEXT(A239,"MMM YYYY")</f>
        <v>Apr 2026</v>
      </c>
      <c r="C239" s="9" t="s">
        <v>17</v>
      </c>
      <c r="D239" s="9" t="s">
        <v>18</v>
      </c>
      <c r="E239" s="9" t="s">
        <v>20</v>
      </c>
      <c r="F239" s="10" t="n">
        <v>920</v>
      </c>
      <c r="G239" s="10" t="n">
        <v>75</v>
      </c>
      <c r="H239" s="10" t="n">
        <v>1196</v>
      </c>
      <c r="I239" s="10" t="n">
        <v>17388</v>
      </c>
      <c r="J239" s="10" t="n">
        <v>72</v>
      </c>
      <c r="K239" s="10" t="n">
        <v>69000</v>
      </c>
    </row>
    <row r="240" customFormat="false" ht="15.75" hidden="false" customHeight="true" outlineLevel="0" collapsed="false">
      <c r="A240" s="3" t="n">
        <v>46125</v>
      </c>
      <c r="B240" s="4" t="str">
        <f aca="false">TEXT(A240,"MMM YYYY")</f>
        <v>Apr 2026</v>
      </c>
      <c r="C240" s="5" t="s">
        <v>11</v>
      </c>
      <c r="D240" s="5" t="s">
        <v>15</v>
      </c>
      <c r="E240" s="5" t="s">
        <v>16</v>
      </c>
      <c r="F240" s="6" t="n">
        <v>1380</v>
      </c>
      <c r="G240" s="6" t="n">
        <v>50</v>
      </c>
      <c r="H240" s="6" t="n">
        <v>368</v>
      </c>
      <c r="I240" s="6" t="n">
        <v>3496</v>
      </c>
      <c r="J240" s="6" t="n">
        <v>66</v>
      </c>
      <c r="K240" s="6" t="n">
        <v>69000</v>
      </c>
    </row>
    <row r="241" customFormat="false" ht="15.75" hidden="false" customHeight="true" outlineLevel="0" collapsed="false">
      <c r="A241" s="7" t="n">
        <v>46125</v>
      </c>
      <c r="B241" s="8" t="str">
        <f aca="false">TEXT(A241,"MMM YYYY")</f>
        <v>Apr 2026</v>
      </c>
      <c r="C241" s="9" t="s">
        <v>14</v>
      </c>
      <c r="D241" s="9" t="s">
        <v>21</v>
      </c>
      <c r="E241" s="9" t="s">
        <v>20</v>
      </c>
      <c r="F241" s="10" t="n">
        <v>1472</v>
      </c>
      <c r="G241" s="10" t="n">
        <v>50</v>
      </c>
      <c r="H241" s="10" t="n">
        <v>1012</v>
      </c>
      <c r="I241" s="10" t="n">
        <v>14628</v>
      </c>
      <c r="J241" s="10" t="n">
        <v>29</v>
      </c>
      <c r="K241" s="10" t="n">
        <v>73600</v>
      </c>
    </row>
    <row r="242" customFormat="false" ht="15.75" hidden="false" customHeight="true" outlineLevel="0" collapsed="false">
      <c r="A242" s="3" t="n">
        <v>46125</v>
      </c>
      <c r="B242" s="4" t="str">
        <f aca="false">TEXT(A242,"MMM YYYY")</f>
        <v>Apr 2026</v>
      </c>
      <c r="C242" s="5" t="s">
        <v>17</v>
      </c>
      <c r="D242" s="5" t="s">
        <v>18</v>
      </c>
      <c r="E242" s="5" t="s">
        <v>20</v>
      </c>
      <c r="F242" s="6" t="n">
        <v>1196</v>
      </c>
      <c r="G242" s="6" t="n">
        <v>55</v>
      </c>
      <c r="H242" s="6" t="n">
        <v>1104</v>
      </c>
      <c r="I242" s="6" t="n">
        <v>56304</v>
      </c>
      <c r="J242" s="6" t="n">
        <v>75</v>
      </c>
      <c r="K242" s="6" t="n">
        <v>63940</v>
      </c>
    </row>
    <row r="243" customFormat="false" ht="15.75" hidden="false" customHeight="true" outlineLevel="0" collapsed="false">
      <c r="A243" s="7" t="n">
        <v>46125</v>
      </c>
      <c r="B243" s="8" t="str">
        <f aca="false">TEXT(A243,"MMM YYYY")</f>
        <v>Apr 2026</v>
      </c>
      <c r="C243" s="9" t="s">
        <v>17</v>
      </c>
      <c r="D243" s="9" t="s">
        <v>19</v>
      </c>
      <c r="E243" s="9" t="s">
        <v>13</v>
      </c>
      <c r="F243" s="10" t="n">
        <v>1012</v>
      </c>
      <c r="G243" s="10" t="n">
        <v>25</v>
      </c>
      <c r="H243" s="10" t="n">
        <v>1012</v>
      </c>
      <c r="I243" s="10" t="n">
        <v>43700</v>
      </c>
      <c r="J243" s="10" t="n">
        <v>32</v>
      </c>
      <c r="K243" s="10" t="n">
        <v>25300</v>
      </c>
    </row>
    <row r="244" customFormat="false" ht="15.75" hidden="false" customHeight="true" outlineLevel="0" collapsed="false">
      <c r="A244" s="3" t="n">
        <v>46125</v>
      </c>
      <c r="B244" s="4" t="str">
        <f aca="false">TEXT(A244,"MMM YYYY")</f>
        <v>Apr 2026</v>
      </c>
      <c r="C244" s="5" t="s">
        <v>17</v>
      </c>
      <c r="D244" s="5" t="s">
        <v>12</v>
      </c>
      <c r="E244" s="5" t="s">
        <v>13</v>
      </c>
      <c r="F244" s="6" t="n">
        <v>1104</v>
      </c>
      <c r="G244" s="6" t="n">
        <v>35</v>
      </c>
      <c r="H244" s="6" t="n">
        <v>920</v>
      </c>
      <c r="I244" s="6" t="n">
        <v>31832</v>
      </c>
      <c r="J244" s="6" t="n">
        <v>47</v>
      </c>
      <c r="K244" s="6" t="n">
        <v>38640</v>
      </c>
    </row>
    <row r="245" customFormat="false" ht="15.75" hidden="false" customHeight="true" outlineLevel="0" collapsed="false">
      <c r="A245" s="7" t="n">
        <v>46125</v>
      </c>
      <c r="B245" s="8" t="str">
        <f aca="false">TEXT(A245,"MMM YYYY")</f>
        <v>Apr 2026</v>
      </c>
      <c r="C245" s="9" t="s">
        <v>17</v>
      </c>
      <c r="D245" s="9" t="s">
        <v>12</v>
      </c>
      <c r="E245" s="9" t="s">
        <v>20</v>
      </c>
      <c r="F245" s="10" t="n">
        <v>828</v>
      </c>
      <c r="G245" s="10" t="n">
        <v>35</v>
      </c>
      <c r="H245" s="10" t="n">
        <v>920</v>
      </c>
      <c r="I245" s="10" t="n">
        <v>31832</v>
      </c>
      <c r="J245" s="10" t="n">
        <v>47</v>
      </c>
      <c r="K245" s="10" t="n">
        <v>28980</v>
      </c>
    </row>
    <row r="246" customFormat="false" ht="15.75" hidden="false" customHeight="true" outlineLevel="0" collapsed="false">
      <c r="A246" s="3" t="n">
        <v>46126</v>
      </c>
      <c r="B246" s="4" t="str">
        <f aca="false">TEXT(A246,"MMM YYYY")</f>
        <v>Apr 2026</v>
      </c>
      <c r="C246" s="5" t="s">
        <v>11</v>
      </c>
      <c r="D246" s="5" t="s">
        <v>21</v>
      </c>
      <c r="E246" s="5" t="s">
        <v>16</v>
      </c>
      <c r="F246" s="6" t="n">
        <v>1656</v>
      </c>
      <c r="G246" s="6" t="n">
        <v>35</v>
      </c>
      <c r="H246" s="6" t="n">
        <v>1288</v>
      </c>
      <c r="I246" s="6" t="n">
        <v>62928</v>
      </c>
      <c r="J246" s="6" t="n">
        <v>42</v>
      </c>
      <c r="K246" s="6" t="n">
        <v>57960</v>
      </c>
    </row>
    <row r="247" customFormat="false" ht="15.75" hidden="false" customHeight="true" outlineLevel="0" collapsed="false">
      <c r="A247" s="7" t="n">
        <v>46126</v>
      </c>
      <c r="B247" s="8" t="str">
        <f aca="false">TEXT(A247,"MMM YYYY")</f>
        <v>Apr 2026</v>
      </c>
      <c r="C247" s="9" t="s">
        <v>11</v>
      </c>
      <c r="D247" s="9" t="s">
        <v>15</v>
      </c>
      <c r="E247" s="9" t="s">
        <v>16</v>
      </c>
      <c r="F247" s="10" t="n">
        <v>1380</v>
      </c>
      <c r="G247" s="10" t="n">
        <v>100</v>
      </c>
      <c r="H247" s="10" t="n">
        <v>1012</v>
      </c>
      <c r="I247" s="10" t="n">
        <v>53544</v>
      </c>
      <c r="J247" s="10" t="n">
        <v>62</v>
      </c>
      <c r="K247" s="10" t="n">
        <v>138000</v>
      </c>
    </row>
    <row r="248" customFormat="false" ht="15.75" hidden="false" customHeight="true" outlineLevel="0" collapsed="false">
      <c r="A248" s="3" t="n">
        <v>46126</v>
      </c>
      <c r="B248" s="4" t="str">
        <f aca="false">TEXT(A248,"MMM YYYY")</f>
        <v>Apr 2026</v>
      </c>
      <c r="C248" s="5" t="s">
        <v>14</v>
      </c>
      <c r="D248" s="5" t="s">
        <v>18</v>
      </c>
      <c r="E248" s="5" t="s">
        <v>13</v>
      </c>
      <c r="F248" s="6" t="n">
        <v>1104</v>
      </c>
      <c r="G248" s="6" t="n">
        <v>25</v>
      </c>
      <c r="H248" s="6" t="n">
        <v>368</v>
      </c>
      <c r="I248" s="6" t="n">
        <v>14996</v>
      </c>
      <c r="J248" s="6" t="n">
        <v>74</v>
      </c>
      <c r="K248" s="6" t="n">
        <v>27600</v>
      </c>
    </row>
    <row r="249" customFormat="false" ht="15.75" hidden="false" customHeight="true" outlineLevel="0" collapsed="false">
      <c r="A249" s="7" t="n">
        <v>46126</v>
      </c>
      <c r="B249" s="8" t="str">
        <f aca="false">TEXT(A249,"MMM YYYY")</f>
        <v>Apr 2026</v>
      </c>
      <c r="C249" s="9" t="s">
        <v>14</v>
      </c>
      <c r="D249" s="9" t="s">
        <v>18</v>
      </c>
      <c r="E249" s="9" t="s">
        <v>16</v>
      </c>
      <c r="F249" s="10" t="n">
        <v>644</v>
      </c>
      <c r="G249" s="10" t="n">
        <v>35</v>
      </c>
      <c r="H249" s="10" t="n">
        <v>368</v>
      </c>
      <c r="I249" s="10" t="n">
        <v>14996</v>
      </c>
      <c r="J249" s="10" t="n">
        <v>74</v>
      </c>
      <c r="K249" s="10" t="n">
        <v>22540</v>
      </c>
    </row>
    <row r="250" customFormat="false" ht="15.75" hidden="false" customHeight="true" outlineLevel="0" collapsed="false">
      <c r="A250" s="3" t="n">
        <v>46126</v>
      </c>
      <c r="B250" s="4" t="str">
        <f aca="false">TEXT(A250,"MMM YYYY")</f>
        <v>Apr 2026</v>
      </c>
      <c r="C250" s="5" t="s">
        <v>14</v>
      </c>
      <c r="D250" s="5" t="s">
        <v>19</v>
      </c>
      <c r="E250" s="5" t="s">
        <v>16</v>
      </c>
      <c r="F250" s="6" t="n">
        <v>644</v>
      </c>
      <c r="G250" s="6" t="n">
        <v>100</v>
      </c>
      <c r="H250" s="6" t="n">
        <v>828</v>
      </c>
      <c r="I250" s="6" t="n">
        <v>22172</v>
      </c>
      <c r="J250" s="6" t="n">
        <v>23</v>
      </c>
      <c r="K250" s="6" t="n">
        <v>64400</v>
      </c>
    </row>
    <row r="251" customFormat="false" ht="15.75" hidden="false" customHeight="true" outlineLevel="0" collapsed="false">
      <c r="A251" s="7" t="n">
        <v>46126</v>
      </c>
      <c r="B251" s="8" t="str">
        <f aca="false">TEXT(A251,"MMM YYYY")</f>
        <v>Apr 2026</v>
      </c>
      <c r="C251" s="9" t="s">
        <v>14</v>
      </c>
      <c r="D251" s="9" t="s">
        <v>21</v>
      </c>
      <c r="E251" s="9" t="s">
        <v>13</v>
      </c>
      <c r="F251" s="10" t="n">
        <v>1104</v>
      </c>
      <c r="G251" s="10" t="n">
        <v>100</v>
      </c>
      <c r="H251" s="10" t="n">
        <v>1288</v>
      </c>
      <c r="I251" s="10" t="n">
        <v>62928</v>
      </c>
      <c r="J251" s="10" t="n">
        <v>42</v>
      </c>
      <c r="K251" s="10" t="n">
        <v>110400</v>
      </c>
    </row>
    <row r="252" customFormat="false" ht="15.75" hidden="false" customHeight="true" outlineLevel="0" collapsed="false">
      <c r="A252" s="3" t="n">
        <v>46127</v>
      </c>
      <c r="B252" s="4" t="str">
        <f aca="false">TEXT(A252,"MMM YYYY")</f>
        <v>Apr 2026</v>
      </c>
      <c r="C252" s="5" t="s">
        <v>11</v>
      </c>
      <c r="D252" s="5" t="s">
        <v>19</v>
      </c>
      <c r="E252" s="5" t="s">
        <v>13</v>
      </c>
      <c r="F252" s="6" t="n">
        <v>1196</v>
      </c>
      <c r="G252" s="6" t="n">
        <v>75</v>
      </c>
      <c r="H252" s="6" t="n">
        <v>1104</v>
      </c>
      <c r="I252" s="6" t="n">
        <v>23276</v>
      </c>
      <c r="J252" s="6" t="n">
        <v>27</v>
      </c>
      <c r="K252" s="6" t="n">
        <v>89700</v>
      </c>
    </row>
    <row r="253" customFormat="false" ht="15.75" hidden="false" customHeight="true" outlineLevel="0" collapsed="false">
      <c r="A253" s="7" t="n">
        <v>46127</v>
      </c>
      <c r="B253" s="8" t="str">
        <f aca="false">TEXT(A253,"MMM YYYY")</f>
        <v>Apr 2026</v>
      </c>
      <c r="C253" s="9" t="s">
        <v>11</v>
      </c>
      <c r="D253" s="9" t="s">
        <v>19</v>
      </c>
      <c r="E253" s="9" t="s">
        <v>16</v>
      </c>
      <c r="F253" s="10" t="n">
        <v>460</v>
      </c>
      <c r="G253" s="10" t="n">
        <v>100</v>
      </c>
      <c r="H253" s="10" t="n">
        <v>1104</v>
      </c>
      <c r="I253" s="10" t="n">
        <v>23276</v>
      </c>
      <c r="J253" s="10" t="n">
        <v>27</v>
      </c>
      <c r="K253" s="10" t="n">
        <v>46000</v>
      </c>
    </row>
    <row r="254" customFormat="false" ht="15.75" hidden="false" customHeight="true" outlineLevel="0" collapsed="false">
      <c r="A254" s="3" t="n">
        <v>46127</v>
      </c>
      <c r="B254" s="4" t="str">
        <f aca="false">TEXT(A254,"MMM YYYY")</f>
        <v>Apr 2026</v>
      </c>
      <c r="C254" s="5" t="s">
        <v>11</v>
      </c>
      <c r="D254" s="5" t="s">
        <v>12</v>
      </c>
      <c r="E254" s="5" t="s">
        <v>20</v>
      </c>
      <c r="F254" s="6" t="n">
        <v>1380</v>
      </c>
      <c r="G254" s="6" t="n">
        <v>50</v>
      </c>
      <c r="H254" s="6" t="n">
        <v>1104</v>
      </c>
      <c r="I254" s="6" t="n">
        <v>3496</v>
      </c>
      <c r="J254" s="6" t="n">
        <v>55</v>
      </c>
      <c r="K254" s="6" t="n">
        <v>69000</v>
      </c>
    </row>
    <row r="255" customFormat="false" ht="15.75" hidden="false" customHeight="true" outlineLevel="0" collapsed="false">
      <c r="A255" s="7" t="n">
        <v>46127</v>
      </c>
      <c r="B255" s="8" t="str">
        <f aca="false">TEXT(A255,"MMM YYYY")</f>
        <v>Apr 2026</v>
      </c>
      <c r="C255" s="9" t="s">
        <v>14</v>
      </c>
      <c r="D255" s="9" t="s">
        <v>12</v>
      </c>
      <c r="E255" s="9" t="s">
        <v>20</v>
      </c>
      <c r="F255" s="10" t="n">
        <v>920</v>
      </c>
      <c r="G255" s="10" t="n">
        <v>100</v>
      </c>
      <c r="H255" s="10" t="n">
        <v>2208</v>
      </c>
      <c r="I255" s="10" t="n">
        <v>6992</v>
      </c>
      <c r="J255" s="10" t="n">
        <v>55</v>
      </c>
      <c r="K255" s="10" t="n">
        <v>92000</v>
      </c>
    </row>
    <row r="256" customFormat="false" ht="15.75" hidden="false" customHeight="true" outlineLevel="0" collapsed="false">
      <c r="A256" s="3" t="n">
        <v>46127</v>
      </c>
      <c r="B256" s="4" t="str">
        <f aca="false">TEXT(A256,"MMM YYYY")</f>
        <v>Apr 2026</v>
      </c>
      <c r="C256" s="5" t="s">
        <v>17</v>
      </c>
      <c r="D256" s="5" t="s">
        <v>21</v>
      </c>
      <c r="E256" s="5" t="s">
        <v>20</v>
      </c>
      <c r="F256" s="6" t="n">
        <v>1104</v>
      </c>
      <c r="G256" s="6" t="n">
        <v>25</v>
      </c>
      <c r="H256" s="6" t="n">
        <v>1472</v>
      </c>
      <c r="I256" s="6" t="n">
        <v>43240</v>
      </c>
      <c r="J256" s="6" t="n">
        <v>34</v>
      </c>
      <c r="K256" s="6" t="n">
        <v>27600</v>
      </c>
    </row>
    <row r="257" customFormat="false" ht="15.75" hidden="false" customHeight="true" outlineLevel="0" collapsed="false">
      <c r="A257" s="7" t="n">
        <v>46127</v>
      </c>
      <c r="B257" s="8" t="str">
        <f aca="false">TEXT(A257,"MMM YYYY")</f>
        <v>Apr 2026</v>
      </c>
      <c r="C257" s="9" t="s">
        <v>17</v>
      </c>
      <c r="D257" s="9" t="s">
        <v>21</v>
      </c>
      <c r="E257" s="9" t="s">
        <v>16</v>
      </c>
      <c r="F257" s="10" t="n">
        <v>1288</v>
      </c>
      <c r="G257" s="10" t="n">
        <v>35</v>
      </c>
      <c r="H257" s="10" t="n">
        <v>1472</v>
      </c>
      <c r="I257" s="10" t="n">
        <v>43240</v>
      </c>
      <c r="J257" s="10" t="n">
        <v>34</v>
      </c>
      <c r="K257" s="10" t="n">
        <v>45080</v>
      </c>
    </row>
    <row r="258" customFormat="false" ht="15.75" hidden="false" customHeight="true" outlineLevel="0" collapsed="false">
      <c r="A258" s="3" t="n">
        <v>46128</v>
      </c>
      <c r="B258" s="4" t="str">
        <f aca="false">TEXT(A258,"MMM YYYY")</f>
        <v>Apr 2026</v>
      </c>
      <c r="C258" s="5" t="s">
        <v>11</v>
      </c>
      <c r="D258" s="5" t="s">
        <v>21</v>
      </c>
      <c r="E258" s="5" t="s">
        <v>20</v>
      </c>
      <c r="F258" s="6" t="n">
        <v>1196</v>
      </c>
      <c r="G258" s="6" t="n">
        <v>35</v>
      </c>
      <c r="H258" s="6" t="n">
        <v>1472</v>
      </c>
      <c r="I258" s="6" t="n">
        <v>60444</v>
      </c>
      <c r="J258" s="6" t="n">
        <v>33</v>
      </c>
      <c r="K258" s="6" t="n">
        <v>41860</v>
      </c>
    </row>
    <row r="259" customFormat="false" ht="15.75" hidden="false" customHeight="true" outlineLevel="0" collapsed="false">
      <c r="A259" s="7" t="n">
        <v>46128</v>
      </c>
      <c r="B259" s="8" t="str">
        <f aca="false">TEXT(A259,"MMM YYYY")</f>
        <v>Apr 2026</v>
      </c>
      <c r="C259" s="9" t="s">
        <v>11</v>
      </c>
      <c r="D259" s="9" t="s">
        <v>12</v>
      </c>
      <c r="E259" s="9" t="s">
        <v>20</v>
      </c>
      <c r="F259" s="10" t="n">
        <v>184</v>
      </c>
      <c r="G259" s="10" t="n">
        <v>35</v>
      </c>
      <c r="H259" s="10" t="n">
        <v>460</v>
      </c>
      <c r="I259" s="10" t="n">
        <v>22632</v>
      </c>
      <c r="J259" s="10" t="n">
        <v>60</v>
      </c>
      <c r="K259" s="10" t="n">
        <v>6440</v>
      </c>
    </row>
    <row r="260" customFormat="false" ht="15.75" hidden="false" customHeight="true" outlineLevel="0" collapsed="false">
      <c r="A260" s="3" t="n">
        <v>46128</v>
      </c>
      <c r="B260" s="4" t="str">
        <f aca="false">TEXT(A260,"MMM YYYY")</f>
        <v>Apr 2026</v>
      </c>
      <c r="C260" s="5" t="s">
        <v>11</v>
      </c>
      <c r="D260" s="5" t="s">
        <v>15</v>
      </c>
      <c r="E260" s="5" t="s">
        <v>16</v>
      </c>
      <c r="F260" s="6" t="n">
        <v>92</v>
      </c>
      <c r="G260" s="6" t="n">
        <v>25</v>
      </c>
      <c r="H260" s="6" t="n">
        <v>1104</v>
      </c>
      <c r="I260" s="6" t="n">
        <v>28060</v>
      </c>
      <c r="J260" s="6" t="n">
        <v>68</v>
      </c>
      <c r="K260" s="6" t="n">
        <v>2300</v>
      </c>
    </row>
    <row r="261" customFormat="false" ht="15.75" hidden="false" customHeight="true" outlineLevel="0" collapsed="false">
      <c r="A261" s="7" t="n">
        <v>46128</v>
      </c>
      <c r="B261" s="8" t="str">
        <f aca="false">TEXT(A261,"MMM YYYY")</f>
        <v>Apr 2026</v>
      </c>
      <c r="C261" s="9" t="s">
        <v>17</v>
      </c>
      <c r="D261" s="9" t="s">
        <v>12</v>
      </c>
      <c r="E261" s="9" t="s">
        <v>13</v>
      </c>
      <c r="F261" s="10" t="n">
        <v>644</v>
      </c>
      <c r="G261" s="10" t="n">
        <v>25</v>
      </c>
      <c r="H261" s="10" t="n">
        <v>460</v>
      </c>
      <c r="I261" s="10" t="n">
        <v>22632</v>
      </c>
      <c r="J261" s="10" t="n">
        <v>60</v>
      </c>
      <c r="K261" s="10" t="n">
        <v>16100</v>
      </c>
    </row>
    <row r="262" customFormat="false" ht="15.75" hidden="false" customHeight="true" outlineLevel="0" collapsed="false">
      <c r="A262" s="3" t="n">
        <v>46128</v>
      </c>
      <c r="B262" s="4" t="str">
        <f aca="false">TEXT(A262,"MMM YYYY")</f>
        <v>Apr 2026</v>
      </c>
      <c r="C262" s="5" t="s">
        <v>17</v>
      </c>
      <c r="D262" s="5" t="s">
        <v>12</v>
      </c>
      <c r="E262" s="5" t="s">
        <v>20</v>
      </c>
      <c r="F262" s="6" t="n">
        <v>644</v>
      </c>
      <c r="G262" s="6" t="n">
        <v>25</v>
      </c>
      <c r="H262" s="6" t="n">
        <v>460</v>
      </c>
      <c r="I262" s="6" t="n">
        <v>22632</v>
      </c>
      <c r="J262" s="6" t="n">
        <v>60</v>
      </c>
      <c r="K262" s="6" t="n">
        <v>16100</v>
      </c>
    </row>
    <row r="263" customFormat="false" ht="15.75" hidden="false" customHeight="true" outlineLevel="0" collapsed="false">
      <c r="A263" s="7" t="n">
        <v>46129</v>
      </c>
      <c r="B263" s="8" t="str">
        <f aca="false">TEXT(A263,"MMM YYYY")</f>
        <v>Apr 2026</v>
      </c>
      <c r="C263" s="9" t="s">
        <v>11</v>
      </c>
      <c r="D263" s="9" t="s">
        <v>18</v>
      </c>
      <c r="E263" s="9" t="s">
        <v>13</v>
      </c>
      <c r="F263" s="10" t="n">
        <v>184</v>
      </c>
      <c r="G263" s="10" t="n">
        <v>35</v>
      </c>
      <c r="H263" s="10" t="n">
        <v>1472</v>
      </c>
      <c r="I263" s="10" t="n">
        <v>78016</v>
      </c>
      <c r="J263" s="10" t="n">
        <v>85</v>
      </c>
      <c r="K263" s="10" t="n">
        <v>6440</v>
      </c>
    </row>
    <row r="264" customFormat="false" ht="15.75" hidden="false" customHeight="true" outlineLevel="0" collapsed="false">
      <c r="A264" s="3" t="n">
        <v>46129</v>
      </c>
      <c r="B264" s="4" t="str">
        <f aca="false">TEXT(A264,"MMM YYYY")</f>
        <v>Apr 2026</v>
      </c>
      <c r="C264" s="5" t="s">
        <v>11</v>
      </c>
      <c r="D264" s="5" t="s">
        <v>21</v>
      </c>
      <c r="E264" s="5" t="s">
        <v>13</v>
      </c>
      <c r="F264" s="6" t="n">
        <v>1840</v>
      </c>
      <c r="G264" s="6" t="n">
        <v>50</v>
      </c>
      <c r="H264" s="6" t="n">
        <v>1104</v>
      </c>
      <c r="I264" s="6" t="n">
        <v>4784</v>
      </c>
      <c r="J264" s="6" t="n">
        <v>30</v>
      </c>
      <c r="K264" s="6" t="n">
        <v>92000</v>
      </c>
    </row>
    <row r="265" customFormat="false" ht="15.75" hidden="false" customHeight="true" outlineLevel="0" collapsed="false">
      <c r="A265" s="7" t="n">
        <v>46129</v>
      </c>
      <c r="B265" s="8" t="str">
        <f aca="false">TEXT(A265,"MMM YYYY")</f>
        <v>Apr 2026</v>
      </c>
      <c r="C265" s="9" t="s">
        <v>14</v>
      </c>
      <c r="D265" s="9" t="s">
        <v>19</v>
      </c>
      <c r="E265" s="9" t="s">
        <v>20</v>
      </c>
      <c r="F265" s="10" t="n">
        <v>2300</v>
      </c>
      <c r="G265" s="10" t="n">
        <v>87.5</v>
      </c>
      <c r="H265" s="10" t="n">
        <v>736</v>
      </c>
      <c r="I265" s="10" t="n">
        <v>28704</v>
      </c>
      <c r="J265" s="10" t="n">
        <v>21</v>
      </c>
      <c r="K265" s="10" t="n">
        <v>204700</v>
      </c>
    </row>
    <row r="266" customFormat="false" ht="15.75" hidden="false" customHeight="true" outlineLevel="0" collapsed="false">
      <c r="A266" s="3" t="n">
        <v>46129</v>
      </c>
      <c r="B266" s="4" t="str">
        <f aca="false">TEXT(A266,"MMM YYYY")</f>
        <v>Apr 2026</v>
      </c>
      <c r="C266" s="5" t="s">
        <v>17</v>
      </c>
      <c r="D266" s="5" t="s">
        <v>12</v>
      </c>
      <c r="E266" s="5" t="s">
        <v>16</v>
      </c>
      <c r="F266" s="6" t="n">
        <v>920</v>
      </c>
      <c r="G266" s="6" t="n">
        <v>50</v>
      </c>
      <c r="H266" s="6" t="n">
        <v>644</v>
      </c>
      <c r="I266" s="6" t="n">
        <v>17848</v>
      </c>
      <c r="J266" s="6" t="n">
        <v>40</v>
      </c>
      <c r="K266" s="6" t="n">
        <v>46000</v>
      </c>
    </row>
    <row r="267" customFormat="false" ht="15.75" hidden="false" customHeight="true" outlineLevel="0" collapsed="false">
      <c r="A267" s="7" t="n">
        <v>46130</v>
      </c>
      <c r="B267" s="8" t="str">
        <f aca="false">TEXT(A267,"MMM YYYY")</f>
        <v>Apr 2026</v>
      </c>
      <c r="C267" s="9" t="s">
        <v>11</v>
      </c>
      <c r="D267" s="9" t="s">
        <v>19</v>
      </c>
      <c r="E267" s="9" t="s">
        <v>16</v>
      </c>
      <c r="F267" s="10" t="n">
        <v>184</v>
      </c>
      <c r="G267" s="10" t="n">
        <v>100</v>
      </c>
      <c r="H267" s="10" t="n">
        <v>368</v>
      </c>
      <c r="I267" s="10" t="n">
        <v>5612</v>
      </c>
      <c r="J267" s="10" t="n">
        <v>22</v>
      </c>
      <c r="K267" s="10" t="n">
        <v>18400</v>
      </c>
    </row>
    <row r="268" customFormat="false" ht="15.75" hidden="false" customHeight="true" outlineLevel="0" collapsed="false">
      <c r="A268" s="3" t="n">
        <v>46130</v>
      </c>
      <c r="B268" s="4" t="str">
        <f aca="false">TEXT(A268,"MMM YYYY")</f>
        <v>Apr 2026</v>
      </c>
      <c r="C268" s="5" t="s">
        <v>11</v>
      </c>
      <c r="D268" s="5" t="s">
        <v>21</v>
      </c>
      <c r="E268" s="5" t="s">
        <v>16</v>
      </c>
      <c r="F268" s="6" t="n">
        <v>2208</v>
      </c>
      <c r="G268" s="6" t="n">
        <v>42.5</v>
      </c>
      <c r="H268" s="6" t="n">
        <v>1104</v>
      </c>
      <c r="I268" s="6" t="n">
        <v>10672</v>
      </c>
      <c r="J268" s="6" t="n">
        <v>33</v>
      </c>
      <c r="K268" s="6" t="n">
        <v>88320</v>
      </c>
    </row>
    <row r="269" customFormat="false" ht="15.75" hidden="false" customHeight="true" outlineLevel="0" collapsed="false">
      <c r="A269" s="7" t="n">
        <v>46130</v>
      </c>
      <c r="B269" s="8" t="str">
        <f aca="false">TEXT(A269,"MMM YYYY")</f>
        <v>Apr 2026</v>
      </c>
      <c r="C269" s="9" t="s">
        <v>14</v>
      </c>
      <c r="D269" s="9" t="s">
        <v>18</v>
      </c>
      <c r="E269" s="9" t="s">
        <v>13</v>
      </c>
      <c r="F269" s="10" t="n">
        <v>1196</v>
      </c>
      <c r="G269" s="10" t="n">
        <v>100</v>
      </c>
      <c r="H269" s="10" t="n">
        <v>1012</v>
      </c>
      <c r="I269" s="10" t="n">
        <v>26036</v>
      </c>
      <c r="J269" s="10" t="n">
        <v>71</v>
      </c>
      <c r="K269" s="10" t="n">
        <v>119600</v>
      </c>
    </row>
    <row r="270" customFormat="false" ht="15.75" hidden="false" customHeight="true" outlineLevel="0" collapsed="false">
      <c r="A270" s="3" t="n">
        <v>46130</v>
      </c>
      <c r="B270" s="4" t="str">
        <f aca="false">TEXT(A270,"MMM YYYY")</f>
        <v>Apr 2026</v>
      </c>
      <c r="C270" s="5" t="s">
        <v>14</v>
      </c>
      <c r="D270" s="5" t="s">
        <v>19</v>
      </c>
      <c r="E270" s="5" t="s">
        <v>20</v>
      </c>
      <c r="F270" s="6" t="n">
        <v>1656</v>
      </c>
      <c r="G270" s="6" t="n">
        <v>35</v>
      </c>
      <c r="H270" s="6" t="n">
        <v>368</v>
      </c>
      <c r="I270" s="6" t="n">
        <v>5612</v>
      </c>
      <c r="J270" s="6" t="n">
        <v>22</v>
      </c>
      <c r="K270" s="6" t="n">
        <v>57960</v>
      </c>
    </row>
    <row r="271" customFormat="false" ht="15.75" hidden="false" customHeight="true" outlineLevel="0" collapsed="false">
      <c r="A271" s="7" t="n">
        <v>46130</v>
      </c>
      <c r="B271" s="8" t="str">
        <f aca="false">TEXT(A271,"MMM YYYY")</f>
        <v>Apr 2026</v>
      </c>
      <c r="C271" s="9" t="s">
        <v>14</v>
      </c>
      <c r="D271" s="9" t="s">
        <v>19</v>
      </c>
      <c r="E271" s="9" t="s">
        <v>16</v>
      </c>
      <c r="F271" s="10" t="n">
        <v>1840</v>
      </c>
      <c r="G271" s="10" t="n">
        <v>35</v>
      </c>
      <c r="H271" s="10" t="n">
        <v>368</v>
      </c>
      <c r="I271" s="10" t="n">
        <v>5612</v>
      </c>
      <c r="J271" s="10" t="n">
        <v>22</v>
      </c>
      <c r="K271" s="10" t="n">
        <v>64400</v>
      </c>
    </row>
    <row r="272" customFormat="false" ht="15.75" hidden="false" customHeight="true" outlineLevel="0" collapsed="false">
      <c r="A272" s="3" t="n">
        <v>46130</v>
      </c>
      <c r="B272" s="4" t="str">
        <f aca="false">TEXT(A272,"MMM YYYY")</f>
        <v>Apr 2026</v>
      </c>
      <c r="C272" s="5" t="s">
        <v>17</v>
      </c>
      <c r="D272" s="5" t="s">
        <v>18</v>
      </c>
      <c r="E272" s="5" t="s">
        <v>13</v>
      </c>
      <c r="F272" s="6" t="n">
        <v>1104</v>
      </c>
      <c r="G272" s="6" t="n">
        <v>25</v>
      </c>
      <c r="H272" s="6" t="n">
        <v>1012</v>
      </c>
      <c r="I272" s="6" t="n">
        <v>26036</v>
      </c>
      <c r="J272" s="6" t="n">
        <v>71</v>
      </c>
      <c r="K272" s="6" t="n">
        <v>27600</v>
      </c>
    </row>
    <row r="273" customFormat="false" ht="15.75" hidden="false" customHeight="true" outlineLevel="0" collapsed="false">
      <c r="A273" s="7" t="n">
        <v>46130</v>
      </c>
      <c r="B273" s="8" t="str">
        <f aca="false">TEXT(A273,"MMM YYYY")</f>
        <v>Apr 2026</v>
      </c>
      <c r="C273" s="9" t="s">
        <v>17</v>
      </c>
      <c r="D273" s="9" t="s">
        <v>12</v>
      </c>
      <c r="E273" s="9" t="s">
        <v>20</v>
      </c>
      <c r="F273" s="10" t="n">
        <v>644</v>
      </c>
      <c r="G273" s="10" t="n">
        <v>35</v>
      </c>
      <c r="H273" s="10" t="n">
        <v>1472</v>
      </c>
      <c r="I273" s="10" t="n">
        <v>5704</v>
      </c>
      <c r="J273" s="10" t="n">
        <v>50</v>
      </c>
      <c r="K273" s="10" t="n">
        <v>22540</v>
      </c>
    </row>
    <row r="274" customFormat="false" ht="15.75" hidden="false" customHeight="true" outlineLevel="0" collapsed="false">
      <c r="A274" s="3" t="n">
        <v>46131</v>
      </c>
      <c r="B274" s="4" t="str">
        <f aca="false">TEXT(A274,"MMM YYYY")</f>
        <v>Apr 2026</v>
      </c>
      <c r="C274" s="5" t="s">
        <v>11</v>
      </c>
      <c r="D274" s="5" t="s">
        <v>15</v>
      </c>
      <c r="E274" s="5" t="s">
        <v>20</v>
      </c>
      <c r="F274" s="6" t="n">
        <v>1380</v>
      </c>
      <c r="G274" s="6" t="n">
        <v>100</v>
      </c>
      <c r="H274" s="6" t="n">
        <v>1380</v>
      </c>
      <c r="I274" s="6" t="n">
        <v>6716</v>
      </c>
      <c r="J274" s="6" t="n">
        <v>72</v>
      </c>
      <c r="K274" s="6" t="n">
        <v>138000</v>
      </c>
    </row>
    <row r="275" customFormat="false" ht="15.75" hidden="false" customHeight="true" outlineLevel="0" collapsed="false">
      <c r="A275" s="7" t="n">
        <v>46131</v>
      </c>
      <c r="B275" s="8" t="str">
        <f aca="false">TEXT(A275,"MMM YYYY")</f>
        <v>Apr 2026</v>
      </c>
      <c r="C275" s="9" t="s">
        <v>11</v>
      </c>
      <c r="D275" s="9" t="s">
        <v>15</v>
      </c>
      <c r="E275" s="9" t="s">
        <v>16</v>
      </c>
      <c r="F275" s="10" t="n">
        <v>1656</v>
      </c>
      <c r="G275" s="10" t="n">
        <v>50</v>
      </c>
      <c r="H275" s="10" t="n">
        <v>1380</v>
      </c>
      <c r="I275" s="10" t="n">
        <v>6716</v>
      </c>
      <c r="J275" s="10" t="n">
        <v>72</v>
      </c>
      <c r="K275" s="10" t="n">
        <v>82800</v>
      </c>
    </row>
    <row r="276" customFormat="false" ht="15.75" hidden="false" customHeight="true" outlineLevel="0" collapsed="false">
      <c r="A276" s="3" t="n">
        <v>46131</v>
      </c>
      <c r="B276" s="4" t="str">
        <f aca="false">TEXT(A276,"MMM YYYY")</f>
        <v>Apr 2026</v>
      </c>
      <c r="C276" s="5" t="s">
        <v>14</v>
      </c>
      <c r="D276" s="5" t="s">
        <v>19</v>
      </c>
      <c r="E276" s="5" t="s">
        <v>16</v>
      </c>
      <c r="F276" s="6" t="n">
        <v>1104</v>
      </c>
      <c r="G276" s="6" t="n">
        <v>50</v>
      </c>
      <c r="H276" s="6" t="n">
        <v>1012</v>
      </c>
      <c r="I276" s="6" t="n">
        <v>32752</v>
      </c>
      <c r="J276" s="6" t="n">
        <v>24</v>
      </c>
      <c r="K276" s="6" t="n">
        <v>55200</v>
      </c>
    </row>
    <row r="277" customFormat="false" ht="15.75" hidden="false" customHeight="true" outlineLevel="0" collapsed="false">
      <c r="A277" s="7" t="n">
        <v>46131</v>
      </c>
      <c r="B277" s="8" t="str">
        <f aca="false">TEXT(A277,"MMM YYYY")</f>
        <v>Apr 2026</v>
      </c>
      <c r="C277" s="9" t="s">
        <v>14</v>
      </c>
      <c r="D277" s="9" t="s">
        <v>21</v>
      </c>
      <c r="E277" s="9" t="s">
        <v>16</v>
      </c>
      <c r="F277" s="10" t="n">
        <v>552</v>
      </c>
      <c r="G277" s="10" t="n">
        <v>50</v>
      </c>
      <c r="H277" s="10" t="n">
        <v>1012</v>
      </c>
      <c r="I277" s="10" t="n">
        <v>39376</v>
      </c>
      <c r="J277" s="10" t="n">
        <v>34</v>
      </c>
      <c r="K277" s="10" t="n">
        <v>27600</v>
      </c>
    </row>
    <row r="278" customFormat="false" ht="15.75" hidden="false" customHeight="true" outlineLevel="0" collapsed="false">
      <c r="A278" s="3" t="n">
        <v>46131</v>
      </c>
      <c r="B278" s="4" t="str">
        <f aca="false">TEXT(A278,"MMM YYYY")</f>
        <v>Apr 2026</v>
      </c>
      <c r="C278" s="5" t="s">
        <v>14</v>
      </c>
      <c r="D278" s="5" t="s">
        <v>15</v>
      </c>
      <c r="E278" s="5" t="s">
        <v>20</v>
      </c>
      <c r="F278" s="6" t="n">
        <v>460</v>
      </c>
      <c r="G278" s="6" t="n">
        <v>35</v>
      </c>
      <c r="H278" s="6" t="n">
        <v>1380</v>
      </c>
      <c r="I278" s="6" t="n">
        <v>6716</v>
      </c>
      <c r="J278" s="6" t="n">
        <v>72</v>
      </c>
      <c r="K278" s="6" t="n">
        <v>16100</v>
      </c>
    </row>
    <row r="279" customFormat="false" ht="15.75" hidden="false" customHeight="true" outlineLevel="0" collapsed="false">
      <c r="A279" s="7" t="n">
        <v>46131</v>
      </c>
      <c r="B279" s="8" t="str">
        <f aca="false">TEXT(A279,"MMM YYYY")</f>
        <v>Apr 2026</v>
      </c>
      <c r="C279" s="9" t="s">
        <v>17</v>
      </c>
      <c r="D279" s="9" t="s">
        <v>12</v>
      </c>
      <c r="E279" s="9" t="s">
        <v>20</v>
      </c>
      <c r="F279" s="10" t="n">
        <v>1472</v>
      </c>
      <c r="G279" s="10" t="n">
        <v>75</v>
      </c>
      <c r="H279" s="10" t="n">
        <v>1472</v>
      </c>
      <c r="I279" s="10" t="n">
        <v>11592</v>
      </c>
      <c r="J279" s="10" t="n">
        <v>56</v>
      </c>
      <c r="K279" s="10" t="n">
        <v>110400</v>
      </c>
    </row>
    <row r="280" customFormat="false" ht="15.75" hidden="false" customHeight="true" outlineLevel="0" collapsed="false">
      <c r="A280" s="3" t="n">
        <v>46131</v>
      </c>
      <c r="B280" s="4" t="str">
        <f aca="false">TEXT(A280,"MMM YYYY")</f>
        <v>Apr 2026</v>
      </c>
      <c r="C280" s="5" t="s">
        <v>17</v>
      </c>
      <c r="D280" s="5" t="s">
        <v>15</v>
      </c>
      <c r="E280" s="5" t="s">
        <v>16</v>
      </c>
      <c r="F280" s="6" t="n">
        <v>460</v>
      </c>
      <c r="G280" s="6" t="n">
        <v>25</v>
      </c>
      <c r="H280" s="6" t="n">
        <v>1380</v>
      </c>
      <c r="I280" s="6" t="n">
        <v>6716</v>
      </c>
      <c r="J280" s="6" t="n">
        <v>72</v>
      </c>
      <c r="K280" s="6" t="n">
        <v>11500</v>
      </c>
    </row>
    <row r="281" customFormat="false" ht="15.75" hidden="false" customHeight="true" outlineLevel="0" collapsed="false">
      <c r="A281" s="7" t="n">
        <v>46132</v>
      </c>
      <c r="B281" s="8" t="str">
        <f aca="false">TEXT(A281,"MMM YYYY")</f>
        <v>Apr 2026</v>
      </c>
      <c r="C281" s="9" t="s">
        <v>11</v>
      </c>
      <c r="D281" s="9" t="s">
        <v>18</v>
      </c>
      <c r="E281" s="9" t="s">
        <v>20</v>
      </c>
      <c r="F281" s="10" t="n">
        <v>644</v>
      </c>
      <c r="G281" s="10" t="n">
        <v>100</v>
      </c>
      <c r="H281" s="10" t="n">
        <v>1288</v>
      </c>
      <c r="I281" s="10" t="n">
        <v>60996</v>
      </c>
      <c r="J281" s="10" t="n">
        <v>80</v>
      </c>
      <c r="K281" s="10" t="n">
        <v>64400</v>
      </c>
    </row>
    <row r="282" customFormat="false" ht="15.75" hidden="false" customHeight="true" outlineLevel="0" collapsed="false">
      <c r="A282" s="3" t="n">
        <v>46132</v>
      </c>
      <c r="B282" s="4" t="str">
        <f aca="false">TEXT(A282,"MMM YYYY")</f>
        <v>Apr 2026</v>
      </c>
      <c r="C282" s="5" t="s">
        <v>11</v>
      </c>
      <c r="D282" s="5" t="s">
        <v>19</v>
      </c>
      <c r="E282" s="5" t="s">
        <v>13</v>
      </c>
      <c r="F282" s="6" t="n">
        <v>644</v>
      </c>
      <c r="G282" s="6" t="n">
        <v>100</v>
      </c>
      <c r="H282" s="6" t="n">
        <v>828</v>
      </c>
      <c r="I282" s="6" t="n">
        <v>6900</v>
      </c>
      <c r="J282" s="6" t="n">
        <v>22</v>
      </c>
      <c r="K282" s="6" t="n">
        <v>64400</v>
      </c>
    </row>
    <row r="283" customFormat="false" ht="15.75" hidden="false" customHeight="true" outlineLevel="0" collapsed="false">
      <c r="A283" s="7" t="n">
        <v>46132</v>
      </c>
      <c r="B283" s="8" t="str">
        <f aca="false">TEXT(A283,"MMM YYYY")</f>
        <v>Apr 2026</v>
      </c>
      <c r="C283" s="9" t="s">
        <v>11</v>
      </c>
      <c r="D283" s="9" t="s">
        <v>19</v>
      </c>
      <c r="E283" s="9" t="s">
        <v>16</v>
      </c>
      <c r="F283" s="10" t="n">
        <v>276</v>
      </c>
      <c r="G283" s="10" t="n">
        <v>50</v>
      </c>
      <c r="H283" s="10" t="n">
        <v>828</v>
      </c>
      <c r="I283" s="10" t="n">
        <v>6900</v>
      </c>
      <c r="J283" s="10" t="n">
        <v>22</v>
      </c>
      <c r="K283" s="10" t="n">
        <v>13800</v>
      </c>
    </row>
    <row r="284" customFormat="false" ht="15.75" hidden="false" customHeight="true" outlineLevel="0" collapsed="false">
      <c r="A284" s="3" t="n">
        <v>46132</v>
      </c>
      <c r="B284" s="4" t="str">
        <f aca="false">TEXT(A284,"MMM YYYY")</f>
        <v>Apr 2026</v>
      </c>
      <c r="C284" s="5" t="s">
        <v>14</v>
      </c>
      <c r="D284" s="5" t="s">
        <v>21</v>
      </c>
      <c r="E284" s="5" t="s">
        <v>16</v>
      </c>
      <c r="F284" s="6" t="n">
        <v>1288</v>
      </c>
      <c r="G284" s="6" t="n">
        <v>35</v>
      </c>
      <c r="H284" s="6" t="n">
        <v>1196</v>
      </c>
      <c r="I284" s="6" t="n">
        <v>13984</v>
      </c>
      <c r="J284" s="6" t="n">
        <v>37</v>
      </c>
      <c r="K284" s="6" t="n">
        <v>45080</v>
      </c>
    </row>
    <row r="285" customFormat="false" ht="15.75" hidden="false" customHeight="true" outlineLevel="0" collapsed="false">
      <c r="A285" s="7" t="n">
        <v>46132</v>
      </c>
      <c r="B285" s="8" t="str">
        <f aca="false">TEXT(A285,"MMM YYYY")</f>
        <v>Apr 2026</v>
      </c>
      <c r="C285" s="9" t="s">
        <v>14</v>
      </c>
      <c r="D285" s="9" t="s">
        <v>12</v>
      </c>
      <c r="E285" s="9" t="s">
        <v>16</v>
      </c>
      <c r="F285" s="10" t="n">
        <v>1472</v>
      </c>
      <c r="G285" s="10" t="n">
        <v>67.5</v>
      </c>
      <c r="H285" s="10" t="n">
        <v>1840</v>
      </c>
      <c r="I285" s="10" t="n">
        <v>66608</v>
      </c>
      <c r="J285" s="10" t="n">
        <v>40</v>
      </c>
      <c r="K285" s="10" t="n">
        <v>63480</v>
      </c>
    </row>
    <row r="286" customFormat="false" ht="15.75" hidden="false" customHeight="true" outlineLevel="0" collapsed="false">
      <c r="A286" s="3" t="n">
        <v>46132</v>
      </c>
      <c r="B286" s="4" t="str">
        <f aca="false">TEXT(A286,"MMM YYYY")</f>
        <v>Apr 2026</v>
      </c>
      <c r="C286" s="5" t="s">
        <v>17</v>
      </c>
      <c r="D286" s="5" t="s">
        <v>12</v>
      </c>
      <c r="E286" s="5" t="s">
        <v>16</v>
      </c>
      <c r="F286" s="6" t="n">
        <v>1472</v>
      </c>
      <c r="G286" s="6" t="n">
        <v>25</v>
      </c>
      <c r="H286" s="6" t="n">
        <v>920</v>
      </c>
      <c r="I286" s="6" t="n">
        <v>33304</v>
      </c>
      <c r="J286" s="6" t="n">
        <v>40</v>
      </c>
      <c r="K286" s="6" t="n">
        <v>36800</v>
      </c>
    </row>
    <row r="287" customFormat="false" ht="15.75" hidden="false" customHeight="true" outlineLevel="0" collapsed="false">
      <c r="A287" s="7" t="n">
        <v>46132</v>
      </c>
      <c r="B287" s="8" t="str">
        <f aca="false">TEXT(A287,"MMM YYYY")</f>
        <v>Apr 2026</v>
      </c>
      <c r="C287" s="9" t="s">
        <v>17</v>
      </c>
      <c r="D287" s="9" t="s">
        <v>15</v>
      </c>
      <c r="E287" s="9" t="s">
        <v>20</v>
      </c>
      <c r="F287" s="10" t="n">
        <v>92</v>
      </c>
      <c r="G287" s="10" t="n">
        <v>100</v>
      </c>
      <c r="H287" s="10" t="n">
        <v>368</v>
      </c>
      <c r="I287" s="10" t="n">
        <v>16376</v>
      </c>
      <c r="J287" s="10" t="n">
        <v>70</v>
      </c>
      <c r="K287" s="10" t="n">
        <v>9200</v>
      </c>
    </row>
    <row r="288" customFormat="false" ht="15.75" hidden="false" customHeight="true" outlineLevel="0" collapsed="false">
      <c r="A288" s="3" t="n">
        <v>46133</v>
      </c>
      <c r="B288" s="4" t="str">
        <f aca="false">TEXT(A288,"MMM YYYY")</f>
        <v>Apr 2026</v>
      </c>
      <c r="C288" s="5" t="s">
        <v>11</v>
      </c>
      <c r="D288" s="5" t="s">
        <v>19</v>
      </c>
      <c r="E288" s="5" t="s">
        <v>13</v>
      </c>
      <c r="F288" s="6" t="n">
        <v>644</v>
      </c>
      <c r="G288" s="6" t="n">
        <v>100</v>
      </c>
      <c r="H288" s="6" t="n">
        <v>1380</v>
      </c>
      <c r="I288" s="6" t="n">
        <v>38272</v>
      </c>
      <c r="J288" s="6" t="n">
        <v>26</v>
      </c>
      <c r="K288" s="6" t="n">
        <v>64400</v>
      </c>
    </row>
    <row r="289" customFormat="false" ht="15.75" hidden="false" customHeight="true" outlineLevel="0" collapsed="false">
      <c r="A289" s="7" t="n">
        <v>46133</v>
      </c>
      <c r="B289" s="8" t="str">
        <f aca="false">TEXT(A289,"MMM YYYY")</f>
        <v>Apr 2026</v>
      </c>
      <c r="C289" s="9" t="s">
        <v>14</v>
      </c>
      <c r="D289" s="9" t="s">
        <v>12</v>
      </c>
      <c r="E289" s="9" t="s">
        <v>20</v>
      </c>
      <c r="F289" s="10" t="n">
        <v>920</v>
      </c>
      <c r="G289" s="10" t="n">
        <v>25</v>
      </c>
      <c r="H289" s="10" t="n">
        <v>828</v>
      </c>
      <c r="I289" s="10" t="n">
        <v>33120</v>
      </c>
      <c r="J289" s="10" t="n">
        <v>44</v>
      </c>
      <c r="K289" s="10" t="n">
        <v>23000</v>
      </c>
    </row>
    <row r="290" customFormat="false" ht="15.75" hidden="false" customHeight="true" outlineLevel="0" collapsed="false">
      <c r="A290" s="3" t="n">
        <v>46133</v>
      </c>
      <c r="B290" s="4" t="str">
        <f aca="false">TEXT(A290,"MMM YYYY")</f>
        <v>Apr 2026</v>
      </c>
      <c r="C290" s="5" t="s">
        <v>17</v>
      </c>
      <c r="D290" s="5" t="s">
        <v>18</v>
      </c>
      <c r="E290" s="5" t="s">
        <v>13</v>
      </c>
      <c r="F290" s="6" t="n">
        <v>828</v>
      </c>
      <c r="G290" s="6" t="n">
        <v>100</v>
      </c>
      <c r="H290" s="6" t="n">
        <v>368</v>
      </c>
      <c r="I290" s="6" t="n">
        <v>14168</v>
      </c>
      <c r="J290" s="6" t="n">
        <v>84</v>
      </c>
      <c r="K290" s="6" t="n">
        <v>82800</v>
      </c>
    </row>
    <row r="291" customFormat="false" ht="15.75" hidden="false" customHeight="true" outlineLevel="0" collapsed="false">
      <c r="A291" s="7" t="n">
        <v>46133</v>
      </c>
      <c r="B291" s="8" t="str">
        <f aca="false">TEXT(A291,"MMM YYYY")</f>
        <v>Apr 2026</v>
      </c>
      <c r="C291" s="9" t="s">
        <v>17</v>
      </c>
      <c r="D291" s="9" t="s">
        <v>12</v>
      </c>
      <c r="E291" s="9" t="s">
        <v>13</v>
      </c>
      <c r="F291" s="10" t="n">
        <v>1656</v>
      </c>
      <c r="G291" s="10" t="n">
        <v>75</v>
      </c>
      <c r="H291" s="10" t="n">
        <v>828</v>
      </c>
      <c r="I291" s="10" t="n">
        <v>33120</v>
      </c>
      <c r="J291" s="10" t="n">
        <v>44</v>
      </c>
      <c r="K291" s="10" t="n">
        <v>124200</v>
      </c>
    </row>
    <row r="292" customFormat="false" ht="15.75" hidden="false" customHeight="true" outlineLevel="0" collapsed="false">
      <c r="A292" s="3" t="n">
        <v>46133</v>
      </c>
      <c r="B292" s="4" t="str">
        <f aca="false">TEXT(A292,"MMM YYYY")</f>
        <v>Apr 2026</v>
      </c>
      <c r="C292" s="5" t="s">
        <v>17</v>
      </c>
      <c r="D292" s="5" t="s">
        <v>15</v>
      </c>
      <c r="E292" s="5" t="s">
        <v>13</v>
      </c>
      <c r="F292" s="6" t="n">
        <v>1472</v>
      </c>
      <c r="G292" s="6" t="n">
        <v>75</v>
      </c>
      <c r="H292" s="6" t="n">
        <v>1104</v>
      </c>
      <c r="I292" s="6" t="n">
        <v>35420</v>
      </c>
      <c r="J292" s="6" t="n">
        <v>69</v>
      </c>
      <c r="K292" s="6" t="n">
        <v>110400</v>
      </c>
    </row>
    <row r="293" customFormat="false" ht="15.75" hidden="false" customHeight="true" outlineLevel="0" collapsed="false">
      <c r="A293" s="7" t="n">
        <v>46134</v>
      </c>
      <c r="B293" s="8" t="str">
        <f aca="false">TEXT(A293,"MMM YYYY")</f>
        <v>Apr 2026</v>
      </c>
      <c r="C293" s="9" t="s">
        <v>11</v>
      </c>
      <c r="D293" s="9" t="s">
        <v>12</v>
      </c>
      <c r="E293" s="9" t="s">
        <v>16</v>
      </c>
      <c r="F293" s="10" t="n">
        <v>1288</v>
      </c>
      <c r="G293" s="10" t="n">
        <v>35</v>
      </c>
      <c r="H293" s="10" t="n">
        <v>1380</v>
      </c>
      <c r="I293" s="10" t="n">
        <v>48852</v>
      </c>
      <c r="J293" s="10" t="n">
        <v>46</v>
      </c>
      <c r="K293" s="10" t="n">
        <v>45080</v>
      </c>
    </row>
    <row r="294" customFormat="false" ht="15.75" hidden="false" customHeight="true" outlineLevel="0" collapsed="false">
      <c r="A294" s="3" t="n">
        <v>46134</v>
      </c>
      <c r="B294" s="4" t="str">
        <f aca="false">TEXT(A294,"MMM YYYY")</f>
        <v>Apr 2026</v>
      </c>
      <c r="C294" s="5" t="s">
        <v>17</v>
      </c>
      <c r="D294" s="5" t="s">
        <v>18</v>
      </c>
      <c r="E294" s="5" t="s">
        <v>20</v>
      </c>
      <c r="F294" s="6" t="n">
        <v>460</v>
      </c>
      <c r="G294" s="6" t="n">
        <v>25</v>
      </c>
      <c r="H294" s="6" t="n">
        <v>368</v>
      </c>
      <c r="I294" s="6" t="n">
        <v>20976</v>
      </c>
      <c r="J294" s="6" t="n">
        <v>90</v>
      </c>
      <c r="K294" s="6" t="n">
        <v>11500</v>
      </c>
    </row>
    <row r="295" customFormat="false" ht="15.75" hidden="false" customHeight="true" outlineLevel="0" collapsed="false">
      <c r="A295" s="7" t="n">
        <v>46134</v>
      </c>
      <c r="B295" s="8" t="str">
        <f aca="false">TEXT(A295,"MMM YYYY")</f>
        <v>Apr 2026</v>
      </c>
      <c r="C295" s="9" t="s">
        <v>17</v>
      </c>
      <c r="D295" s="9" t="s">
        <v>21</v>
      </c>
      <c r="E295" s="9" t="s">
        <v>20</v>
      </c>
      <c r="F295" s="10" t="n">
        <v>1196</v>
      </c>
      <c r="G295" s="10" t="n">
        <v>100</v>
      </c>
      <c r="H295" s="10" t="n">
        <v>1656</v>
      </c>
      <c r="I295" s="10" t="n">
        <v>35880</v>
      </c>
      <c r="J295" s="10" t="n">
        <v>39</v>
      </c>
      <c r="K295" s="10" t="n">
        <v>119600</v>
      </c>
    </row>
    <row r="296" customFormat="false" ht="15.75" hidden="false" customHeight="true" outlineLevel="0" collapsed="false">
      <c r="A296" s="3" t="n">
        <v>46135</v>
      </c>
      <c r="B296" s="4" t="str">
        <f aca="false">TEXT(A296,"MMM YYYY")</f>
        <v>Apr 2026</v>
      </c>
      <c r="C296" s="5" t="s">
        <v>14</v>
      </c>
      <c r="D296" s="5" t="s">
        <v>19</v>
      </c>
      <c r="E296" s="5" t="s">
        <v>20</v>
      </c>
      <c r="F296" s="6" t="n">
        <v>828</v>
      </c>
      <c r="G296" s="6" t="n">
        <v>75</v>
      </c>
      <c r="H296" s="6" t="n">
        <v>1104</v>
      </c>
      <c r="I296" s="6" t="n">
        <v>9936</v>
      </c>
      <c r="J296" s="6" t="n">
        <v>34</v>
      </c>
      <c r="K296" s="6" t="n">
        <v>62100</v>
      </c>
    </row>
    <row r="297" customFormat="false" ht="15.75" hidden="false" customHeight="true" outlineLevel="0" collapsed="false">
      <c r="A297" s="7" t="n">
        <v>46135</v>
      </c>
      <c r="B297" s="8" t="str">
        <f aca="false">TEXT(A297,"MMM YYYY")</f>
        <v>Apr 2026</v>
      </c>
      <c r="C297" s="9" t="s">
        <v>14</v>
      </c>
      <c r="D297" s="9" t="s">
        <v>19</v>
      </c>
      <c r="E297" s="9" t="s">
        <v>16</v>
      </c>
      <c r="F297" s="10" t="n">
        <v>552</v>
      </c>
      <c r="G297" s="10" t="n">
        <v>100</v>
      </c>
      <c r="H297" s="10" t="n">
        <v>1104</v>
      </c>
      <c r="I297" s="10" t="n">
        <v>9936</v>
      </c>
      <c r="J297" s="10" t="n">
        <v>34</v>
      </c>
      <c r="K297" s="10" t="n">
        <v>55200</v>
      </c>
    </row>
    <row r="298" customFormat="false" ht="15.75" hidden="false" customHeight="true" outlineLevel="0" collapsed="false">
      <c r="A298" s="3" t="n">
        <v>46135</v>
      </c>
      <c r="B298" s="4" t="str">
        <f aca="false">TEXT(A298,"MMM YYYY")</f>
        <v>Apr 2026</v>
      </c>
      <c r="C298" s="5" t="s">
        <v>14</v>
      </c>
      <c r="D298" s="5" t="s">
        <v>15</v>
      </c>
      <c r="E298" s="5" t="s">
        <v>13</v>
      </c>
      <c r="F298" s="6" t="n">
        <v>1196</v>
      </c>
      <c r="G298" s="6" t="n">
        <v>50</v>
      </c>
      <c r="H298" s="6" t="n">
        <v>920</v>
      </c>
      <c r="I298" s="6" t="n">
        <v>20608</v>
      </c>
      <c r="J298" s="6" t="n">
        <v>71</v>
      </c>
      <c r="K298" s="6" t="n">
        <v>59800</v>
      </c>
    </row>
    <row r="299" customFormat="false" ht="15.75" hidden="false" customHeight="true" outlineLevel="0" collapsed="false">
      <c r="A299" s="7" t="n">
        <v>46135</v>
      </c>
      <c r="B299" s="8" t="str">
        <f aca="false">TEXT(A299,"MMM YYYY")</f>
        <v>Apr 2026</v>
      </c>
      <c r="C299" s="9" t="s">
        <v>14</v>
      </c>
      <c r="D299" s="9" t="s">
        <v>15</v>
      </c>
      <c r="E299" s="9" t="s">
        <v>20</v>
      </c>
      <c r="F299" s="10" t="n">
        <v>276</v>
      </c>
      <c r="G299" s="10" t="n">
        <v>25</v>
      </c>
      <c r="H299" s="10" t="n">
        <v>920</v>
      </c>
      <c r="I299" s="10" t="n">
        <v>20608</v>
      </c>
      <c r="J299" s="10" t="n">
        <v>71</v>
      </c>
      <c r="K299" s="10" t="n">
        <v>6900</v>
      </c>
    </row>
    <row r="300" customFormat="false" ht="15.75" hidden="false" customHeight="true" outlineLevel="0" collapsed="false">
      <c r="A300" s="3" t="n">
        <v>46136</v>
      </c>
      <c r="B300" s="4" t="str">
        <f aca="false">TEXT(A300,"MMM YYYY")</f>
        <v>Apr 2026</v>
      </c>
      <c r="C300" s="5" t="s">
        <v>11</v>
      </c>
      <c r="D300" s="5" t="s">
        <v>19</v>
      </c>
      <c r="E300" s="5" t="s">
        <v>13</v>
      </c>
      <c r="F300" s="6" t="n">
        <v>92</v>
      </c>
      <c r="G300" s="6" t="n">
        <v>50</v>
      </c>
      <c r="H300" s="6" t="n">
        <v>1196</v>
      </c>
      <c r="I300" s="6" t="n">
        <v>26864</v>
      </c>
      <c r="J300" s="6" t="n">
        <v>16</v>
      </c>
      <c r="K300" s="6" t="n">
        <v>4600</v>
      </c>
    </row>
    <row r="301" customFormat="false" ht="15.75" hidden="false" customHeight="true" outlineLevel="0" collapsed="false">
      <c r="A301" s="7" t="n">
        <v>46136</v>
      </c>
      <c r="B301" s="8" t="str">
        <f aca="false">TEXT(A301,"MMM YYYY")</f>
        <v>Apr 2026</v>
      </c>
      <c r="C301" s="9" t="s">
        <v>14</v>
      </c>
      <c r="D301" s="9" t="s">
        <v>18</v>
      </c>
      <c r="E301" s="9" t="s">
        <v>16</v>
      </c>
      <c r="F301" s="10" t="n">
        <v>276</v>
      </c>
      <c r="G301" s="10" t="n">
        <v>50</v>
      </c>
      <c r="H301" s="10" t="n">
        <v>1380</v>
      </c>
      <c r="I301" s="10" t="n">
        <v>9384</v>
      </c>
      <c r="J301" s="10" t="n">
        <v>70</v>
      </c>
      <c r="K301" s="10" t="n">
        <v>13800</v>
      </c>
    </row>
    <row r="302" customFormat="false" ht="15.75" hidden="false" customHeight="true" outlineLevel="0" collapsed="false">
      <c r="A302" s="3" t="n">
        <v>46136</v>
      </c>
      <c r="B302" s="4" t="str">
        <f aca="false">TEXT(A302,"MMM YYYY")</f>
        <v>Apr 2026</v>
      </c>
      <c r="C302" s="5" t="s">
        <v>14</v>
      </c>
      <c r="D302" s="5" t="s">
        <v>19</v>
      </c>
      <c r="E302" s="5" t="s">
        <v>13</v>
      </c>
      <c r="F302" s="6" t="n">
        <v>1564</v>
      </c>
      <c r="G302" s="6" t="n">
        <v>35</v>
      </c>
      <c r="H302" s="6" t="n">
        <v>1196</v>
      </c>
      <c r="I302" s="6" t="n">
        <v>26864</v>
      </c>
      <c r="J302" s="6" t="n">
        <v>16</v>
      </c>
      <c r="K302" s="6" t="n">
        <v>54740</v>
      </c>
    </row>
    <row r="303" customFormat="false" ht="15.75" hidden="false" customHeight="true" outlineLevel="0" collapsed="false">
      <c r="A303" s="7" t="n">
        <v>46136</v>
      </c>
      <c r="B303" s="8" t="str">
        <f aca="false">TEXT(A303,"MMM YYYY")</f>
        <v>Apr 2026</v>
      </c>
      <c r="C303" s="9" t="s">
        <v>14</v>
      </c>
      <c r="D303" s="9" t="s">
        <v>19</v>
      </c>
      <c r="E303" s="9" t="s">
        <v>20</v>
      </c>
      <c r="F303" s="10" t="n">
        <v>1288</v>
      </c>
      <c r="G303" s="10" t="n">
        <v>50</v>
      </c>
      <c r="H303" s="10" t="n">
        <v>1196</v>
      </c>
      <c r="I303" s="10" t="n">
        <v>26864</v>
      </c>
      <c r="J303" s="10" t="n">
        <v>16</v>
      </c>
      <c r="K303" s="10" t="n">
        <v>64400</v>
      </c>
    </row>
    <row r="304" customFormat="false" ht="15.75" hidden="false" customHeight="true" outlineLevel="0" collapsed="false">
      <c r="A304" s="3" t="n">
        <v>46136</v>
      </c>
      <c r="B304" s="4" t="str">
        <f aca="false">TEXT(A304,"MMM YYYY")</f>
        <v>Apr 2026</v>
      </c>
      <c r="C304" s="5" t="s">
        <v>14</v>
      </c>
      <c r="D304" s="5" t="s">
        <v>21</v>
      </c>
      <c r="E304" s="5" t="s">
        <v>13</v>
      </c>
      <c r="F304" s="6" t="n">
        <v>828</v>
      </c>
      <c r="G304" s="6" t="n">
        <v>75</v>
      </c>
      <c r="H304" s="6" t="n">
        <v>644</v>
      </c>
      <c r="I304" s="6" t="n">
        <v>7728</v>
      </c>
      <c r="J304" s="6" t="n">
        <v>40</v>
      </c>
      <c r="K304" s="6" t="n">
        <v>62100</v>
      </c>
    </row>
    <row r="305" customFormat="false" ht="15.75" hidden="false" customHeight="true" outlineLevel="0" collapsed="false">
      <c r="A305" s="7" t="n">
        <v>46136</v>
      </c>
      <c r="B305" s="8" t="str">
        <f aca="false">TEXT(A305,"MMM YYYY")</f>
        <v>Apr 2026</v>
      </c>
      <c r="C305" s="9" t="s">
        <v>14</v>
      </c>
      <c r="D305" s="9" t="s">
        <v>12</v>
      </c>
      <c r="E305" s="9" t="s">
        <v>13</v>
      </c>
      <c r="F305" s="10" t="n">
        <v>1104</v>
      </c>
      <c r="G305" s="10" t="n">
        <v>50</v>
      </c>
      <c r="H305" s="10" t="n">
        <v>460</v>
      </c>
      <c r="I305" s="10" t="n">
        <v>4784</v>
      </c>
      <c r="J305" s="10" t="n">
        <v>44</v>
      </c>
      <c r="K305" s="10" t="n">
        <v>55200</v>
      </c>
    </row>
    <row r="306" customFormat="false" ht="15.75" hidden="false" customHeight="true" outlineLevel="0" collapsed="false">
      <c r="A306" s="3" t="n">
        <v>46136</v>
      </c>
      <c r="B306" s="4" t="str">
        <f aca="false">TEXT(A306,"MMM YYYY")</f>
        <v>Apr 2026</v>
      </c>
      <c r="C306" s="5" t="s">
        <v>17</v>
      </c>
      <c r="D306" s="5" t="s">
        <v>18</v>
      </c>
      <c r="E306" s="5" t="s">
        <v>20</v>
      </c>
      <c r="F306" s="6" t="n">
        <v>1380</v>
      </c>
      <c r="G306" s="6" t="n">
        <v>100</v>
      </c>
      <c r="H306" s="6" t="n">
        <v>1380</v>
      </c>
      <c r="I306" s="6" t="n">
        <v>9384</v>
      </c>
      <c r="J306" s="6" t="n">
        <v>70</v>
      </c>
      <c r="K306" s="6" t="n">
        <v>138000</v>
      </c>
    </row>
    <row r="307" customFormat="false" ht="15.75" hidden="false" customHeight="true" outlineLevel="0" collapsed="false">
      <c r="A307" s="7" t="n">
        <v>46137</v>
      </c>
      <c r="B307" s="8" t="str">
        <f aca="false">TEXT(A307,"MMM YYYY")</f>
        <v>Apr 2026</v>
      </c>
      <c r="C307" s="9" t="s">
        <v>11</v>
      </c>
      <c r="D307" s="9" t="s">
        <v>21</v>
      </c>
      <c r="E307" s="9" t="s">
        <v>13</v>
      </c>
      <c r="F307" s="10" t="n">
        <v>1840</v>
      </c>
      <c r="G307" s="10" t="n">
        <v>100</v>
      </c>
      <c r="H307" s="10" t="n">
        <v>1380</v>
      </c>
      <c r="I307" s="10" t="n">
        <v>41860</v>
      </c>
      <c r="J307" s="10" t="n">
        <v>36</v>
      </c>
      <c r="K307" s="10" t="n">
        <v>184000</v>
      </c>
    </row>
    <row r="308" customFormat="false" ht="15.75" hidden="false" customHeight="true" outlineLevel="0" collapsed="false">
      <c r="A308" s="3" t="n">
        <v>46137</v>
      </c>
      <c r="B308" s="4" t="str">
        <f aca="false">TEXT(A308,"MMM YYYY")</f>
        <v>Apr 2026</v>
      </c>
      <c r="C308" s="5" t="s">
        <v>11</v>
      </c>
      <c r="D308" s="5" t="s">
        <v>21</v>
      </c>
      <c r="E308" s="5" t="s">
        <v>20</v>
      </c>
      <c r="F308" s="6" t="n">
        <v>1472</v>
      </c>
      <c r="G308" s="6" t="n">
        <v>100</v>
      </c>
      <c r="H308" s="6" t="n">
        <v>1380</v>
      </c>
      <c r="I308" s="6" t="n">
        <v>41860</v>
      </c>
      <c r="J308" s="6" t="n">
        <v>36</v>
      </c>
      <c r="K308" s="6" t="n">
        <v>147200</v>
      </c>
    </row>
    <row r="309" customFormat="false" ht="15.75" hidden="false" customHeight="true" outlineLevel="0" collapsed="false">
      <c r="A309" s="7" t="n">
        <v>46137</v>
      </c>
      <c r="B309" s="8" t="str">
        <f aca="false">TEXT(A309,"MMM YYYY")</f>
        <v>Apr 2026</v>
      </c>
      <c r="C309" s="9" t="s">
        <v>14</v>
      </c>
      <c r="D309" s="9" t="s">
        <v>18</v>
      </c>
      <c r="E309" s="9" t="s">
        <v>20</v>
      </c>
      <c r="F309" s="10" t="n">
        <v>1012</v>
      </c>
      <c r="G309" s="10" t="n">
        <v>75</v>
      </c>
      <c r="H309" s="10" t="n">
        <v>1380</v>
      </c>
      <c r="I309" s="10" t="n">
        <v>24472</v>
      </c>
      <c r="J309" s="10" t="n">
        <v>87</v>
      </c>
      <c r="K309" s="10" t="n">
        <v>75900</v>
      </c>
    </row>
    <row r="310" customFormat="false" ht="15.75" hidden="false" customHeight="true" outlineLevel="0" collapsed="false">
      <c r="A310" s="3" t="n">
        <v>46137</v>
      </c>
      <c r="B310" s="4" t="str">
        <f aca="false">TEXT(A310,"MMM YYYY")</f>
        <v>Apr 2026</v>
      </c>
      <c r="C310" s="5" t="s">
        <v>14</v>
      </c>
      <c r="D310" s="5" t="s">
        <v>18</v>
      </c>
      <c r="E310" s="5" t="s">
        <v>16</v>
      </c>
      <c r="F310" s="6" t="n">
        <v>1104</v>
      </c>
      <c r="G310" s="6" t="n">
        <v>25</v>
      </c>
      <c r="H310" s="6" t="n">
        <v>1380</v>
      </c>
      <c r="I310" s="6" t="n">
        <v>24472</v>
      </c>
      <c r="J310" s="6" t="n">
        <v>87</v>
      </c>
      <c r="K310" s="6" t="n">
        <v>27600</v>
      </c>
    </row>
    <row r="311" customFormat="false" ht="15.75" hidden="false" customHeight="true" outlineLevel="0" collapsed="false">
      <c r="A311" s="7" t="n">
        <v>46137</v>
      </c>
      <c r="B311" s="8" t="str">
        <f aca="false">TEXT(A311,"MMM YYYY")</f>
        <v>Apr 2026</v>
      </c>
      <c r="C311" s="9" t="s">
        <v>14</v>
      </c>
      <c r="D311" s="9" t="s">
        <v>15</v>
      </c>
      <c r="E311" s="9" t="s">
        <v>20</v>
      </c>
      <c r="F311" s="10" t="n">
        <v>644</v>
      </c>
      <c r="G311" s="10" t="n">
        <v>75</v>
      </c>
      <c r="H311" s="10" t="n">
        <v>1196</v>
      </c>
      <c r="I311" s="10" t="n">
        <v>27784</v>
      </c>
      <c r="J311" s="10" t="n">
        <v>71</v>
      </c>
      <c r="K311" s="10" t="n">
        <v>48300</v>
      </c>
    </row>
    <row r="312" customFormat="false" ht="15.75" hidden="false" customHeight="true" outlineLevel="0" collapsed="false">
      <c r="A312" s="3" t="n">
        <v>46137</v>
      </c>
      <c r="B312" s="4" t="str">
        <f aca="false">TEXT(A312,"MMM YYYY")</f>
        <v>Apr 2026</v>
      </c>
      <c r="C312" s="5" t="s">
        <v>17</v>
      </c>
      <c r="D312" s="5" t="s">
        <v>19</v>
      </c>
      <c r="E312" s="5" t="s">
        <v>13</v>
      </c>
      <c r="F312" s="6" t="n">
        <v>1656</v>
      </c>
      <c r="G312" s="6" t="n">
        <v>25</v>
      </c>
      <c r="H312" s="6" t="n">
        <v>736</v>
      </c>
      <c r="I312" s="6" t="n">
        <v>6348</v>
      </c>
      <c r="J312" s="6" t="n">
        <v>21</v>
      </c>
      <c r="K312" s="6" t="n">
        <v>41400</v>
      </c>
    </row>
    <row r="313" customFormat="false" ht="15.75" hidden="false" customHeight="true" outlineLevel="0" collapsed="false">
      <c r="A313" s="7" t="n">
        <v>46137</v>
      </c>
      <c r="B313" s="8" t="str">
        <f aca="false">TEXT(A313,"MMM YYYY")</f>
        <v>Apr 2026</v>
      </c>
      <c r="C313" s="9" t="s">
        <v>17</v>
      </c>
      <c r="D313" s="9" t="s">
        <v>15</v>
      </c>
      <c r="E313" s="9" t="s">
        <v>20</v>
      </c>
      <c r="F313" s="10" t="n">
        <v>92</v>
      </c>
      <c r="G313" s="10" t="n">
        <v>75</v>
      </c>
      <c r="H313" s="10" t="n">
        <v>1196</v>
      </c>
      <c r="I313" s="10" t="n">
        <v>27784</v>
      </c>
      <c r="J313" s="10" t="n">
        <v>71</v>
      </c>
      <c r="K313" s="10" t="n">
        <v>6900</v>
      </c>
    </row>
    <row r="314" customFormat="false" ht="15.75" hidden="false" customHeight="true" outlineLevel="0" collapsed="false">
      <c r="A314" s="3" t="n">
        <v>46138</v>
      </c>
      <c r="B314" s="4" t="str">
        <f aca="false">TEXT(A314,"MMM YYYY")</f>
        <v>Apr 2026</v>
      </c>
      <c r="C314" s="5" t="s">
        <v>14</v>
      </c>
      <c r="D314" s="5" t="s">
        <v>19</v>
      </c>
      <c r="E314" s="5" t="s">
        <v>20</v>
      </c>
      <c r="F314" s="6" t="n">
        <v>460</v>
      </c>
      <c r="G314" s="6" t="n">
        <v>75</v>
      </c>
      <c r="H314" s="6" t="n">
        <v>552</v>
      </c>
      <c r="I314" s="6" t="n">
        <v>15640</v>
      </c>
      <c r="J314" s="6" t="n">
        <v>27</v>
      </c>
      <c r="K314" s="6" t="n">
        <v>34500</v>
      </c>
    </row>
    <row r="315" customFormat="false" ht="15.75" hidden="false" customHeight="true" outlineLevel="0" collapsed="false">
      <c r="A315" s="7" t="n">
        <v>46138</v>
      </c>
      <c r="B315" s="8" t="str">
        <f aca="false">TEXT(A315,"MMM YYYY")</f>
        <v>Apr 2026</v>
      </c>
      <c r="C315" s="9" t="s">
        <v>14</v>
      </c>
      <c r="D315" s="9" t="s">
        <v>12</v>
      </c>
      <c r="E315" s="9" t="s">
        <v>13</v>
      </c>
      <c r="F315" s="10" t="n">
        <v>1656</v>
      </c>
      <c r="G315" s="10" t="n">
        <v>100</v>
      </c>
      <c r="H315" s="10" t="n">
        <v>1104</v>
      </c>
      <c r="I315" s="10" t="n">
        <v>64584</v>
      </c>
      <c r="J315" s="10" t="n">
        <v>47</v>
      </c>
      <c r="K315" s="10" t="n">
        <v>165600</v>
      </c>
    </row>
    <row r="316" customFormat="false" ht="15.75" hidden="false" customHeight="true" outlineLevel="0" collapsed="false">
      <c r="A316" s="3" t="n">
        <v>46138</v>
      </c>
      <c r="B316" s="4" t="str">
        <f aca="false">TEXT(A316,"MMM YYYY")</f>
        <v>Apr 2026</v>
      </c>
      <c r="C316" s="5" t="s">
        <v>17</v>
      </c>
      <c r="D316" s="5" t="s">
        <v>18</v>
      </c>
      <c r="E316" s="5" t="s">
        <v>20</v>
      </c>
      <c r="F316" s="6" t="n">
        <v>1196</v>
      </c>
      <c r="G316" s="6" t="n">
        <v>100</v>
      </c>
      <c r="H316" s="6" t="n">
        <v>552</v>
      </c>
      <c r="I316" s="6" t="n">
        <v>27876</v>
      </c>
      <c r="J316" s="6" t="n">
        <v>89</v>
      </c>
      <c r="K316" s="6" t="n">
        <v>119600</v>
      </c>
    </row>
    <row r="317" customFormat="false" ht="15.75" hidden="false" customHeight="true" outlineLevel="0" collapsed="false">
      <c r="A317" s="7" t="n">
        <v>46138</v>
      </c>
      <c r="B317" s="8" t="str">
        <f aca="false">TEXT(A317,"MMM YYYY")</f>
        <v>Apr 2026</v>
      </c>
      <c r="C317" s="9" t="s">
        <v>17</v>
      </c>
      <c r="D317" s="9" t="s">
        <v>21</v>
      </c>
      <c r="E317" s="9" t="s">
        <v>20</v>
      </c>
      <c r="F317" s="10" t="n">
        <v>1288</v>
      </c>
      <c r="G317" s="10" t="n">
        <v>75</v>
      </c>
      <c r="H317" s="10" t="n">
        <v>552</v>
      </c>
      <c r="I317" s="10" t="n">
        <v>22264</v>
      </c>
      <c r="J317" s="10" t="n">
        <v>28</v>
      </c>
      <c r="K317" s="10" t="n">
        <v>96600</v>
      </c>
    </row>
    <row r="318" customFormat="false" ht="15.75" hidden="false" customHeight="true" outlineLevel="0" collapsed="false">
      <c r="A318" s="3" t="n">
        <v>46139</v>
      </c>
      <c r="B318" s="4" t="str">
        <f aca="false">TEXT(A318,"MMM YYYY")</f>
        <v>Apr 2026</v>
      </c>
      <c r="C318" s="5" t="s">
        <v>11</v>
      </c>
      <c r="D318" s="5" t="s">
        <v>19</v>
      </c>
      <c r="E318" s="5" t="s">
        <v>20</v>
      </c>
      <c r="F318" s="6" t="n">
        <v>184</v>
      </c>
      <c r="G318" s="6" t="n">
        <v>100</v>
      </c>
      <c r="H318" s="6" t="n">
        <v>736</v>
      </c>
      <c r="I318" s="6" t="n">
        <v>19688</v>
      </c>
      <c r="J318" s="6" t="n">
        <v>29</v>
      </c>
      <c r="K318" s="6" t="n">
        <v>18400</v>
      </c>
    </row>
    <row r="319" customFormat="false" ht="15.75" hidden="false" customHeight="true" outlineLevel="0" collapsed="false">
      <c r="A319" s="7" t="n">
        <v>46139</v>
      </c>
      <c r="B319" s="8" t="str">
        <f aca="false">TEXT(A319,"MMM YYYY")</f>
        <v>Apr 2026</v>
      </c>
      <c r="C319" s="9" t="s">
        <v>11</v>
      </c>
      <c r="D319" s="9" t="s">
        <v>12</v>
      </c>
      <c r="E319" s="9" t="s">
        <v>20</v>
      </c>
      <c r="F319" s="10" t="n">
        <v>92</v>
      </c>
      <c r="G319" s="10" t="n">
        <v>75</v>
      </c>
      <c r="H319" s="10" t="n">
        <v>828</v>
      </c>
      <c r="I319" s="10" t="n">
        <v>28612</v>
      </c>
      <c r="J319" s="10" t="n">
        <v>50</v>
      </c>
      <c r="K319" s="10" t="n">
        <v>6900</v>
      </c>
    </row>
    <row r="320" customFormat="false" ht="15.75" hidden="false" customHeight="true" outlineLevel="0" collapsed="false">
      <c r="A320" s="3" t="n">
        <v>46139</v>
      </c>
      <c r="B320" s="4" t="str">
        <f aca="false">TEXT(A320,"MMM YYYY")</f>
        <v>Apr 2026</v>
      </c>
      <c r="C320" s="5" t="s">
        <v>11</v>
      </c>
      <c r="D320" s="5" t="s">
        <v>15</v>
      </c>
      <c r="E320" s="5" t="s">
        <v>20</v>
      </c>
      <c r="F320" s="6" t="n">
        <v>460</v>
      </c>
      <c r="G320" s="6" t="n">
        <v>50</v>
      </c>
      <c r="H320" s="6" t="n">
        <v>1104</v>
      </c>
      <c r="I320" s="6" t="n">
        <v>22908</v>
      </c>
      <c r="J320" s="6" t="n">
        <v>67</v>
      </c>
      <c r="K320" s="6" t="n">
        <v>23000</v>
      </c>
    </row>
    <row r="321" customFormat="false" ht="15.75" hidden="false" customHeight="true" outlineLevel="0" collapsed="false">
      <c r="A321" s="7" t="n">
        <v>46139</v>
      </c>
      <c r="B321" s="8" t="str">
        <f aca="false">TEXT(A321,"MMM YYYY")</f>
        <v>Apr 2026</v>
      </c>
      <c r="C321" s="9" t="s">
        <v>14</v>
      </c>
      <c r="D321" s="9" t="s">
        <v>19</v>
      </c>
      <c r="E321" s="9" t="s">
        <v>20</v>
      </c>
      <c r="F321" s="10" t="n">
        <v>1472</v>
      </c>
      <c r="G321" s="10" t="n">
        <v>50</v>
      </c>
      <c r="H321" s="10" t="n">
        <v>736</v>
      </c>
      <c r="I321" s="10" t="n">
        <v>19688</v>
      </c>
      <c r="J321" s="10" t="n">
        <v>29</v>
      </c>
      <c r="K321" s="10" t="n">
        <v>73600</v>
      </c>
    </row>
    <row r="322" customFormat="false" ht="15.75" hidden="false" customHeight="true" outlineLevel="0" collapsed="false">
      <c r="A322" s="3" t="n">
        <v>46139</v>
      </c>
      <c r="B322" s="4" t="str">
        <f aca="false">TEXT(A322,"MMM YYYY")</f>
        <v>Apr 2026</v>
      </c>
      <c r="C322" s="5" t="s">
        <v>17</v>
      </c>
      <c r="D322" s="5" t="s">
        <v>19</v>
      </c>
      <c r="E322" s="5" t="s">
        <v>16</v>
      </c>
      <c r="F322" s="6" t="n">
        <v>1104</v>
      </c>
      <c r="G322" s="6" t="n">
        <v>75</v>
      </c>
      <c r="H322" s="6" t="n">
        <v>736</v>
      </c>
      <c r="I322" s="6" t="n">
        <v>19688</v>
      </c>
      <c r="J322" s="6" t="n">
        <v>29</v>
      </c>
      <c r="K322" s="6" t="n">
        <v>82800</v>
      </c>
    </row>
    <row r="323" customFormat="false" ht="15.75" hidden="false" customHeight="true" outlineLevel="0" collapsed="false">
      <c r="A323" s="7" t="n">
        <v>46139</v>
      </c>
      <c r="B323" s="8" t="str">
        <f aca="false">TEXT(A323,"MMM YYYY")</f>
        <v>Apr 2026</v>
      </c>
      <c r="C323" s="9" t="s">
        <v>17</v>
      </c>
      <c r="D323" s="9" t="s">
        <v>21</v>
      </c>
      <c r="E323" s="9" t="s">
        <v>13</v>
      </c>
      <c r="F323" s="10" t="n">
        <v>368</v>
      </c>
      <c r="G323" s="10" t="n">
        <v>35</v>
      </c>
      <c r="H323" s="10" t="n">
        <v>1288</v>
      </c>
      <c r="I323" s="10" t="n">
        <v>43240</v>
      </c>
      <c r="J323" s="10" t="n">
        <v>35</v>
      </c>
      <c r="K323" s="10" t="n">
        <v>12880</v>
      </c>
    </row>
    <row r="324" customFormat="false" ht="15.75" hidden="false" customHeight="true" outlineLevel="0" collapsed="false">
      <c r="A324" s="3" t="n">
        <v>46139</v>
      </c>
      <c r="B324" s="4" t="str">
        <f aca="false">TEXT(A324,"MMM YYYY")</f>
        <v>Apr 2026</v>
      </c>
      <c r="C324" s="5" t="s">
        <v>17</v>
      </c>
      <c r="D324" s="5" t="s">
        <v>21</v>
      </c>
      <c r="E324" s="5" t="s">
        <v>16</v>
      </c>
      <c r="F324" s="6" t="n">
        <v>368</v>
      </c>
      <c r="G324" s="6" t="n">
        <v>50</v>
      </c>
      <c r="H324" s="6" t="n">
        <v>1288</v>
      </c>
      <c r="I324" s="6" t="n">
        <v>43240</v>
      </c>
      <c r="J324" s="6" t="n">
        <v>35</v>
      </c>
      <c r="K324" s="6" t="n">
        <v>18400</v>
      </c>
    </row>
    <row r="325" customFormat="false" ht="15.75" hidden="false" customHeight="true" outlineLevel="0" collapsed="false">
      <c r="A325" s="7" t="n">
        <v>46139</v>
      </c>
      <c r="B325" s="8" t="str">
        <f aca="false">TEXT(A325,"MMM YYYY")</f>
        <v>Apr 2026</v>
      </c>
      <c r="C325" s="9" t="s">
        <v>17</v>
      </c>
      <c r="D325" s="9" t="s">
        <v>12</v>
      </c>
      <c r="E325" s="9" t="s">
        <v>13</v>
      </c>
      <c r="F325" s="10" t="n">
        <v>276</v>
      </c>
      <c r="G325" s="10" t="n">
        <v>50</v>
      </c>
      <c r="H325" s="10" t="n">
        <v>828</v>
      </c>
      <c r="I325" s="10" t="n">
        <v>28612</v>
      </c>
      <c r="J325" s="10" t="n">
        <v>50</v>
      </c>
      <c r="K325" s="10" t="n">
        <v>13800</v>
      </c>
    </row>
    <row r="326" customFormat="false" ht="15.75" hidden="false" customHeight="true" outlineLevel="0" collapsed="false">
      <c r="A326" s="3" t="n">
        <v>46140</v>
      </c>
      <c r="B326" s="4" t="str">
        <f aca="false">TEXT(A326,"MMM YYYY")</f>
        <v>Apr 2026</v>
      </c>
      <c r="C326" s="5" t="s">
        <v>11</v>
      </c>
      <c r="D326" s="5" t="s">
        <v>21</v>
      </c>
      <c r="E326" s="5" t="s">
        <v>13</v>
      </c>
      <c r="F326" s="6" t="n">
        <v>1748</v>
      </c>
      <c r="G326" s="6" t="n">
        <v>25</v>
      </c>
      <c r="H326" s="6" t="n">
        <v>644</v>
      </c>
      <c r="I326" s="6" t="n">
        <v>12788</v>
      </c>
      <c r="J326" s="6" t="n">
        <v>35</v>
      </c>
      <c r="K326" s="6" t="n">
        <v>43700</v>
      </c>
    </row>
    <row r="327" customFormat="false" ht="15.75" hidden="false" customHeight="true" outlineLevel="0" collapsed="false">
      <c r="A327" s="7" t="n">
        <v>46140</v>
      </c>
      <c r="B327" s="8" t="str">
        <f aca="false">TEXT(A327,"MMM YYYY")</f>
        <v>Apr 2026</v>
      </c>
      <c r="C327" s="9" t="s">
        <v>11</v>
      </c>
      <c r="D327" s="9" t="s">
        <v>21</v>
      </c>
      <c r="E327" s="9" t="s">
        <v>16</v>
      </c>
      <c r="F327" s="10" t="n">
        <v>1288</v>
      </c>
      <c r="G327" s="10" t="n">
        <v>75</v>
      </c>
      <c r="H327" s="10" t="n">
        <v>644</v>
      </c>
      <c r="I327" s="10" t="n">
        <v>12788</v>
      </c>
      <c r="J327" s="10" t="n">
        <v>35</v>
      </c>
      <c r="K327" s="10" t="n">
        <v>96600</v>
      </c>
    </row>
    <row r="328" customFormat="false" ht="15.75" hidden="false" customHeight="true" outlineLevel="0" collapsed="false">
      <c r="A328" s="3" t="n">
        <v>46140</v>
      </c>
      <c r="B328" s="4" t="str">
        <f aca="false">TEXT(A328,"MMM YYYY")</f>
        <v>Apr 2026</v>
      </c>
      <c r="C328" s="5" t="s">
        <v>14</v>
      </c>
      <c r="D328" s="5" t="s">
        <v>18</v>
      </c>
      <c r="E328" s="5" t="s">
        <v>16</v>
      </c>
      <c r="F328" s="6" t="n">
        <v>1932</v>
      </c>
      <c r="G328" s="6" t="n">
        <v>50</v>
      </c>
      <c r="H328" s="6" t="n">
        <v>1104</v>
      </c>
      <c r="I328" s="6" t="n">
        <v>18400</v>
      </c>
      <c r="J328" s="6" t="n">
        <v>78</v>
      </c>
      <c r="K328" s="6" t="n">
        <v>103500</v>
      </c>
    </row>
    <row r="329" customFormat="false" ht="15.75" hidden="false" customHeight="true" outlineLevel="0" collapsed="false">
      <c r="A329" s="7" t="n">
        <v>46140</v>
      </c>
      <c r="B329" s="8" t="str">
        <f aca="false">TEXT(A329,"MMM YYYY")</f>
        <v>Apr 2026</v>
      </c>
      <c r="C329" s="9" t="s">
        <v>14</v>
      </c>
      <c r="D329" s="9" t="s">
        <v>19</v>
      </c>
      <c r="E329" s="9" t="s">
        <v>20</v>
      </c>
      <c r="F329" s="10" t="n">
        <v>1012</v>
      </c>
      <c r="G329" s="10" t="n">
        <v>35</v>
      </c>
      <c r="H329" s="10" t="n">
        <v>1196</v>
      </c>
      <c r="I329" s="10" t="n">
        <v>17296</v>
      </c>
      <c r="J329" s="10" t="n">
        <v>18</v>
      </c>
      <c r="K329" s="10" t="n">
        <v>35420</v>
      </c>
    </row>
    <row r="330" customFormat="false" ht="15.75" hidden="false" customHeight="true" outlineLevel="0" collapsed="false">
      <c r="A330" s="3" t="n">
        <v>46140</v>
      </c>
      <c r="B330" s="4" t="str">
        <f aca="false">TEXT(A330,"MMM YYYY")</f>
        <v>Apr 2026</v>
      </c>
      <c r="C330" s="5" t="s">
        <v>14</v>
      </c>
      <c r="D330" s="5" t="s">
        <v>19</v>
      </c>
      <c r="E330" s="5" t="s">
        <v>16</v>
      </c>
      <c r="F330" s="6" t="n">
        <v>1748</v>
      </c>
      <c r="G330" s="6" t="n">
        <v>75</v>
      </c>
      <c r="H330" s="6" t="n">
        <v>1196</v>
      </c>
      <c r="I330" s="6" t="n">
        <v>17296</v>
      </c>
      <c r="J330" s="6" t="n">
        <v>18</v>
      </c>
      <c r="K330" s="6" t="n">
        <v>131100</v>
      </c>
    </row>
    <row r="331" customFormat="false" ht="15.75" hidden="false" customHeight="true" outlineLevel="0" collapsed="false">
      <c r="A331" s="7" t="n">
        <v>46140</v>
      </c>
      <c r="B331" s="8" t="str">
        <f aca="false">TEXT(A331,"MMM YYYY")</f>
        <v>Apr 2026</v>
      </c>
      <c r="C331" s="9" t="s">
        <v>17</v>
      </c>
      <c r="D331" s="9" t="s">
        <v>19</v>
      </c>
      <c r="E331" s="9" t="s">
        <v>20</v>
      </c>
      <c r="F331" s="10" t="n">
        <v>1012</v>
      </c>
      <c r="G331" s="10" t="n">
        <v>100</v>
      </c>
      <c r="H331" s="10" t="n">
        <v>1196</v>
      </c>
      <c r="I331" s="10" t="n">
        <v>17296</v>
      </c>
      <c r="J331" s="10" t="n">
        <v>18</v>
      </c>
      <c r="K331" s="10" t="n">
        <v>101200</v>
      </c>
    </row>
    <row r="332" customFormat="false" ht="15.75" hidden="false" customHeight="true" outlineLevel="0" collapsed="false">
      <c r="A332" s="3" t="n">
        <v>46140</v>
      </c>
      <c r="B332" s="4" t="str">
        <f aca="false">TEXT(A332,"MMM YYYY")</f>
        <v>Apr 2026</v>
      </c>
      <c r="C332" s="5" t="s">
        <v>17</v>
      </c>
      <c r="D332" s="5" t="s">
        <v>12</v>
      </c>
      <c r="E332" s="5" t="s">
        <v>16</v>
      </c>
      <c r="F332" s="6" t="n">
        <v>1288</v>
      </c>
      <c r="G332" s="6" t="n">
        <v>75</v>
      </c>
      <c r="H332" s="6" t="n">
        <v>1104</v>
      </c>
      <c r="I332" s="6" t="n">
        <v>15456</v>
      </c>
      <c r="J332" s="6" t="n">
        <v>49</v>
      </c>
      <c r="K332" s="6" t="n">
        <v>96600</v>
      </c>
    </row>
    <row r="333" customFormat="false" ht="15.75" hidden="false" customHeight="true" outlineLevel="0" collapsed="false">
      <c r="A333" s="7" t="n">
        <v>46141</v>
      </c>
      <c r="B333" s="8" t="str">
        <f aca="false">TEXT(A333,"MMM YYYY")</f>
        <v>Apr 2026</v>
      </c>
      <c r="C333" s="9" t="s">
        <v>11</v>
      </c>
      <c r="D333" s="9" t="s">
        <v>19</v>
      </c>
      <c r="E333" s="9" t="s">
        <v>13</v>
      </c>
      <c r="F333" s="10" t="n">
        <v>460</v>
      </c>
      <c r="G333" s="10" t="n">
        <v>100</v>
      </c>
      <c r="H333" s="10" t="n">
        <v>1380</v>
      </c>
      <c r="I333" s="10" t="n">
        <v>57040</v>
      </c>
      <c r="J333" s="10" t="n">
        <v>18</v>
      </c>
      <c r="K333" s="10" t="n">
        <v>46000</v>
      </c>
    </row>
    <row r="334" customFormat="false" ht="15.75" hidden="false" customHeight="true" outlineLevel="0" collapsed="false">
      <c r="A334" s="3" t="n">
        <v>46141</v>
      </c>
      <c r="B334" s="4" t="str">
        <f aca="false">TEXT(A334,"MMM YYYY")</f>
        <v>Apr 2026</v>
      </c>
      <c r="C334" s="5" t="s">
        <v>14</v>
      </c>
      <c r="D334" s="5" t="s">
        <v>18</v>
      </c>
      <c r="E334" s="5" t="s">
        <v>20</v>
      </c>
      <c r="F334" s="6" t="n">
        <v>1656</v>
      </c>
      <c r="G334" s="6" t="n">
        <v>35</v>
      </c>
      <c r="H334" s="6" t="n">
        <v>368</v>
      </c>
      <c r="I334" s="6" t="n">
        <v>19964</v>
      </c>
      <c r="J334" s="6" t="n">
        <v>88</v>
      </c>
      <c r="K334" s="6" t="n">
        <v>57960</v>
      </c>
    </row>
    <row r="335" customFormat="false" ht="15.75" hidden="false" customHeight="true" outlineLevel="0" collapsed="false">
      <c r="A335" s="7" t="n">
        <v>46141</v>
      </c>
      <c r="B335" s="8" t="str">
        <f aca="false">TEXT(A335,"MMM YYYY")</f>
        <v>Apr 2026</v>
      </c>
      <c r="C335" s="9" t="s">
        <v>17</v>
      </c>
      <c r="D335" s="9" t="s">
        <v>19</v>
      </c>
      <c r="E335" s="9" t="s">
        <v>13</v>
      </c>
      <c r="F335" s="10" t="n">
        <v>552</v>
      </c>
      <c r="G335" s="10" t="n">
        <v>50</v>
      </c>
      <c r="H335" s="10" t="n">
        <v>1380</v>
      </c>
      <c r="I335" s="10" t="n">
        <v>57040</v>
      </c>
      <c r="J335" s="10" t="n">
        <v>18</v>
      </c>
      <c r="K335" s="10" t="n">
        <v>27600</v>
      </c>
    </row>
    <row r="336" customFormat="false" ht="15.75" hidden="false" customHeight="true" outlineLevel="0" collapsed="false">
      <c r="A336" s="3" t="n">
        <v>46141</v>
      </c>
      <c r="B336" s="4" t="str">
        <f aca="false">TEXT(A336,"MMM YYYY")</f>
        <v>Apr 2026</v>
      </c>
      <c r="C336" s="5" t="s">
        <v>17</v>
      </c>
      <c r="D336" s="5" t="s">
        <v>21</v>
      </c>
      <c r="E336" s="5" t="s">
        <v>20</v>
      </c>
      <c r="F336" s="6" t="n">
        <v>552</v>
      </c>
      <c r="G336" s="6" t="n">
        <v>50</v>
      </c>
      <c r="H336" s="6" t="n">
        <v>920</v>
      </c>
      <c r="I336" s="6" t="n">
        <v>29532</v>
      </c>
      <c r="J336" s="6" t="n">
        <v>31</v>
      </c>
      <c r="K336" s="6" t="n">
        <v>27600</v>
      </c>
    </row>
    <row r="337" customFormat="false" ht="15.75" hidden="false" customHeight="true" outlineLevel="0" collapsed="false">
      <c r="A337" s="7" t="n">
        <v>46142</v>
      </c>
      <c r="B337" s="8" t="str">
        <f aca="false">TEXT(A337,"MMM YYYY")</f>
        <v>Apr 2026</v>
      </c>
      <c r="C337" s="9" t="s">
        <v>11</v>
      </c>
      <c r="D337" s="9" t="s">
        <v>19</v>
      </c>
      <c r="E337" s="9" t="s">
        <v>13</v>
      </c>
      <c r="F337" s="10" t="n">
        <v>1472</v>
      </c>
      <c r="G337" s="10" t="n">
        <v>75</v>
      </c>
      <c r="H337" s="10" t="n">
        <v>736</v>
      </c>
      <c r="I337" s="10" t="n">
        <v>27416</v>
      </c>
      <c r="J337" s="10" t="n">
        <v>16</v>
      </c>
      <c r="K337" s="10" t="n">
        <v>110400</v>
      </c>
    </row>
    <row r="338" customFormat="false" ht="15.75" hidden="false" customHeight="true" outlineLevel="0" collapsed="false">
      <c r="A338" s="3" t="n">
        <v>46142</v>
      </c>
      <c r="B338" s="4" t="str">
        <f aca="false">TEXT(A338,"MMM YYYY")</f>
        <v>Apr 2026</v>
      </c>
      <c r="C338" s="5" t="s">
        <v>11</v>
      </c>
      <c r="D338" s="5" t="s">
        <v>12</v>
      </c>
      <c r="E338" s="5" t="s">
        <v>20</v>
      </c>
      <c r="F338" s="6" t="n">
        <v>736</v>
      </c>
      <c r="G338" s="6" t="n">
        <v>50</v>
      </c>
      <c r="H338" s="6" t="n">
        <v>368</v>
      </c>
      <c r="I338" s="6" t="n">
        <v>20884</v>
      </c>
      <c r="J338" s="6" t="n">
        <v>50</v>
      </c>
      <c r="K338" s="6" t="n">
        <v>36800</v>
      </c>
    </row>
    <row r="339" customFormat="false" ht="15.75" hidden="false" customHeight="true" outlineLevel="0" collapsed="false">
      <c r="A339" s="7" t="n">
        <v>46142</v>
      </c>
      <c r="B339" s="8" t="str">
        <f aca="false">TEXT(A339,"MMM YYYY")</f>
        <v>Apr 2026</v>
      </c>
      <c r="C339" s="9" t="s">
        <v>14</v>
      </c>
      <c r="D339" s="9" t="s">
        <v>18</v>
      </c>
      <c r="E339" s="9" t="s">
        <v>20</v>
      </c>
      <c r="F339" s="10" t="n">
        <v>1748</v>
      </c>
      <c r="G339" s="10" t="n">
        <v>50</v>
      </c>
      <c r="H339" s="10" t="n">
        <v>1104</v>
      </c>
      <c r="I339" s="10" t="n">
        <v>36248</v>
      </c>
      <c r="J339" s="10" t="n">
        <v>86</v>
      </c>
      <c r="K339" s="10" t="n">
        <v>52900</v>
      </c>
    </row>
    <row r="340" customFormat="false" ht="15.75" hidden="false" customHeight="true" outlineLevel="0" collapsed="false">
      <c r="A340" s="3" t="n">
        <v>46142</v>
      </c>
      <c r="B340" s="4" t="str">
        <f aca="false">TEXT(A340,"MMM YYYY")</f>
        <v>Apr 2026</v>
      </c>
      <c r="C340" s="5" t="s">
        <v>14</v>
      </c>
      <c r="D340" s="5" t="s">
        <v>15</v>
      </c>
      <c r="E340" s="5" t="s">
        <v>20</v>
      </c>
      <c r="F340" s="6" t="n">
        <v>92</v>
      </c>
      <c r="G340" s="6" t="n">
        <v>35</v>
      </c>
      <c r="H340" s="6" t="n">
        <v>1196</v>
      </c>
      <c r="I340" s="6" t="n">
        <v>3772</v>
      </c>
      <c r="J340" s="6" t="n">
        <v>75</v>
      </c>
      <c r="K340" s="6" t="n">
        <v>3220</v>
      </c>
    </row>
    <row r="341" customFormat="false" ht="15.75" hidden="false" customHeight="true" outlineLevel="0" collapsed="false">
      <c r="A341" s="7" t="n">
        <v>46142</v>
      </c>
      <c r="B341" s="8" t="str">
        <f aca="false">TEXT(A341,"MMM YYYY")</f>
        <v>Apr 2026</v>
      </c>
      <c r="C341" s="9" t="s">
        <v>17</v>
      </c>
      <c r="D341" s="9" t="s">
        <v>19</v>
      </c>
      <c r="E341" s="9" t="s">
        <v>16</v>
      </c>
      <c r="F341" s="10" t="n">
        <v>1380</v>
      </c>
      <c r="G341" s="10" t="n">
        <v>35</v>
      </c>
      <c r="H341" s="10" t="n">
        <v>1472</v>
      </c>
      <c r="I341" s="10" t="n">
        <v>54832</v>
      </c>
      <c r="J341" s="10" t="n">
        <v>16</v>
      </c>
      <c r="K341" s="10" t="n">
        <v>48300</v>
      </c>
    </row>
    <row r="342" customFormat="false" ht="15.75" hidden="false" customHeight="true" outlineLevel="0" collapsed="false">
      <c r="A342" s="3" t="n">
        <v>46143</v>
      </c>
      <c r="B342" s="4" t="str">
        <f aca="false">TEXT(A342,"MMM YYYY")</f>
        <v>May 2026</v>
      </c>
      <c r="C342" s="5" t="s">
        <v>11</v>
      </c>
      <c r="D342" s="5" t="s">
        <v>18</v>
      </c>
      <c r="E342" s="5" t="s">
        <v>16</v>
      </c>
      <c r="F342" s="6" t="n">
        <v>920</v>
      </c>
      <c r="G342" s="6" t="n">
        <v>50</v>
      </c>
      <c r="H342" s="6" t="n">
        <v>460</v>
      </c>
      <c r="I342" s="6" t="n">
        <v>21528</v>
      </c>
      <c r="J342" s="6" t="n">
        <v>86</v>
      </c>
      <c r="K342" s="6" t="n">
        <v>46000</v>
      </c>
    </row>
    <row r="343" customFormat="false" ht="15.75" hidden="false" customHeight="true" outlineLevel="0" collapsed="false">
      <c r="A343" s="7" t="n">
        <v>46143</v>
      </c>
      <c r="B343" s="8" t="str">
        <f aca="false">TEXT(A343,"MMM YYYY")</f>
        <v>May 2026</v>
      </c>
      <c r="C343" s="9" t="s">
        <v>11</v>
      </c>
      <c r="D343" s="9" t="s">
        <v>19</v>
      </c>
      <c r="E343" s="9" t="s">
        <v>20</v>
      </c>
      <c r="F343" s="10" t="n">
        <v>1748</v>
      </c>
      <c r="G343" s="10" t="n">
        <v>50</v>
      </c>
      <c r="H343" s="10" t="n">
        <v>1012</v>
      </c>
      <c r="I343" s="10" t="n">
        <v>29624</v>
      </c>
      <c r="J343" s="10" t="n">
        <v>16</v>
      </c>
      <c r="K343" s="10" t="n">
        <v>87400</v>
      </c>
    </row>
    <row r="344" customFormat="false" ht="15.75" hidden="false" customHeight="true" outlineLevel="0" collapsed="false">
      <c r="A344" s="3" t="n">
        <v>46143</v>
      </c>
      <c r="B344" s="4" t="str">
        <f aca="false">TEXT(A344,"MMM YYYY")</f>
        <v>May 2026</v>
      </c>
      <c r="C344" s="5" t="s">
        <v>17</v>
      </c>
      <c r="D344" s="5" t="s">
        <v>21</v>
      </c>
      <c r="E344" s="5" t="s">
        <v>13</v>
      </c>
      <c r="F344" s="6" t="n">
        <v>1840</v>
      </c>
      <c r="G344" s="6" t="n">
        <v>75</v>
      </c>
      <c r="H344" s="6" t="n">
        <v>1196</v>
      </c>
      <c r="I344" s="6" t="n">
        <v>50232</v>
      </c>
      <c r="J344" s="6" t="n">
        <v>27</v>
      </c>
      <c r="K344" s="6" t="n">
        <v>138000</v>
      </c>
    </row>
    <row r="345" customFormat="false" ht="15.75" hidden="false" customHeight="true" outlineLevel="0" collapsed="false">
      <c r="A345" s="7" t="n">
        <v>46143</v>
      </c>
      <c r="B345" s="8" t="str">
        <f aca="false">TEXT(A345,"MMM YYYY")</f>
        <v>May 2026</v>
      </c>
      <c r="C345" s="9" t="s">
        <v>17</v>
      </c>
      <c r="D345" s="9" t="s">
        <v>21</v>
      </c>
      <c r="E345" s="9" t="s">
        <v>20</v>
      </c>
      <c r="F345" s="10" t="n">
        <v>460</v>
      </c>
      <c r="G345" s="10" t="n">
        <v>50</v>
      </c>
      <c r="H345" s="10" t="n">
        <v>1196</v>
      </c>
      <c r="I345" s="10" t="n">
        <v>50232</v>
      </c>
      <c r="J345" s="10" t="n">
        <v>27</v>
      </c>
      <c r="K345" s="10" t="n">
        <v>23000</v>
      </c>
    </row>
    <row r="346" customFormat="false" ht="15.75" hidden="false" customHeight="true" outlineLevel="0" collapsed="false">
      <c r="A346" s="3" t="n">
        <v>46143</v>
      </c>
      <c r="B346" s="4" t="str">
        <f aca="false">TEXT(A346,"MMM YYYY")</f>
        <v>May 2026</v>
      </c>
      <c r="C346" s="5" t="s">
        <v>17</v>
      </c>
      <c r="D346" s="5" t="s">
        <v>21</v>
      </c>
      <c r="E346" s="5" t="s">
        <v>16</v>
      </c>
      <c r="F346" s="6" t="n">
        <v>368</v>
      </c>
      <c r="G346" s="6" t="n">
        <v>35</v>
      </c>
      <c r="H346" s="6" t="n">
        <v>1196</v>
      </c>
      <c r="I346" s="6" t="n">
        <v>50232</v>
      </c>
      <c r="J346" s="6" t="n">
        <v>27</v>
      </c>
      <c r="K346" s="6" t="n">
        <v>12880</v>
      </c>
    </row>
    <row r="347" customFormat="false" ht="15.75" hidden="false" customHeight="true" outlineLevel="0" collapsed="false">
      <c r="A347" s="7" t="n">
        <v>46143</v>
      </c>
      <c r="B347" s="8" t="str">
        <f aca="false">TEXT(A347,"MMM YYYY")</f>
        <v>May 2026</v>
      </c>
      <c r="C347" s="9" t="s">
        <v>17</v>
      </c>
      <c r="D347" s="9" t="s">
        <v>15</v>
      </c>
      <c r="E347" s="9" t="s">
        <v>13</v>
      </c>
      <c r="F347" s="10" t="n">
        <v>1288</v>
      </c>
      <c r="G347" s="10" t="n">
        <v>25</v>
      </c>
      <c r="H347" s="10" t="n">
        <v>1472</v>
      </c>
      <c r="I347" s="10" t="n">
        <v>39836</v>
      </c>
      <c r="J347" s="10" t="n">
        <v>59</v>
      </c>
      <c r="K347" s="10" t="n">
        <v>32200</v>
      </c>
    </row>
    <row r="348" customFormat="false" ht="15.75" hidden="false" customHeight="true" outlineLevel="0" collapsed="false">
      <c r="A348" s="3" t="n">
        <v>46143</v>
      </c>
      <c r="B348" s="4" t="str">
        <f aca="false">TEXT(A348,"MMM YYYY")</f>
        <v>May 2026</v>
      </c>
      <c r="C348" s="5" t="s">
        <v>17</v>
      </c>
      <c r="D348" s="5" t="s">
        <v>15</v>
      </c>
      <c r="E348" s="5" t="s">
        <v>20</v>
      </c>
      <c r="F348" s="6" t="n">
        <v>184</v>
      </c>
      <c r="G348" s="6" t="n">
        <v>100</v>
      </c>
      <c r="H348" s="6" t="n">
        <v>1472</v>
      </c>
      <c r="I348" s="6" t="n">
        <v>39836</v>
      </c>
      <c r="J348" s="6" t="n">
        <v>59</v>
      </c>
      <c r="K348" s="6" t="n">
        <v>18400</v>
      </c>
    </row>
    <row r="349" customFormat="false" ht="15.75" hidden="false" customHeight="true" outlineLevel="0" collapsed="false">
      <c r="A349" s="7" t="n">
        <v>46144</v>
      </c>
      <c r="B349" s="8" t="str">
        <f aca="false">TEXT(A349,"MMM YYYY")</f>
        <v>May 2026</v>
      </c>
      <c r="C349" s="9" t="s">
        <v>11</v>
      </c>
      <c r="D349" s="9" t="s">
        <v>18</v>
      </c>
      <c r="E349" s="9" t="s">
        <v>13</v>
      </c>
      <c r="F349" s="10" t="n">
        <v>1104</v>
      </c>
      <c r="G349" s="10" t="n">
        <v>25</v>
      </c>
      <c r="H349" s="10" t="n">
        <v>460</v>
      </c>
      <c r="I349" s="10" t="n">
        <v>8004</v>
      </c>
      <c r="J349" s="10" t="n">
        <v>83</v>
      </c>
      <c r="K349" s="10" t="n">
        <v>27600</v>
      </c>
    </row>
    <row r="350" customFormat="false" ht="15.75" hidden="false" customHeight="true" outlineLevel="0" collapsed="false">
      <c r="A350" s="3" t="n">
        <v>46144</v>
      </c>
      <c r="B350" s="4" t="str">
        <f aca="false">TEXT(A350,"MMM YYYY")</f>
        <v>May 2026</v>
      </c>
      <c r="C350" s="5" t="s">
        <v>11</v>
      </c>
      <c r="D350" s="5" t="s">
        <v>15</v>
      </c>
      <c r="E350" s="5" t="s">
        <v>20</v>
      </c>
      <c r="F350" s="6" t="n">
        <v>1472</v>
      </c>
      <c r="G350" s="6" t="n">
        <v>50</v>
      </c>
      <c r="H350" s="6" t="n">
        <v>1380</v>
      </c>
      <c r="I350" s="6" t="n">
        <v>52072</v>
      </c>
      <c r="J350" s="6" t="n">
        <v>62</v>
      </c>
      <c r="K350" s="6" t="n">
        <v>73600</v>
      </c>
    </row>
    <row r="351" customFormat="false" ht="15.75" hidden="false" customHeight="true" outlineLevel="0" collapsed="false">
      <c r="A351" s="7" t="n">
        <v>46144</v>
      </c>
      <c r="B351" s="8" t="str">
        <f aca="false">TEXT(A351,"MMM YYYY")</f>
        <v>May 2026</v>
      </c>
      <c r="C351" s="9" t="s">
        <v>17</v>
      </c>
      <c r="D351" s="9" t="s">
        <v>12</v>
      </c>
      <c r="E351" s="9" t="s">
        <v>13</v>
      </c>
      <c r="F351" s="10" t="n">
        <v>1012</v>
      </c>
      <c r="G351" s="10" t="n">
        <v>100</v>
      </c>
      <c r="H351" s="10" t="n">
        <v>552</v>
      </c>
      <c r="I351" s="10" t="n">
        <v>9108</v>
      </c>
      <c r="J351" s="10" t="n">
        <v>55</v>
      </c>
      <c r="K351" s="10" t="n">
        <v>101200</v>
      </c>
    </row>
    <row r="352" customFormat="false" ht="15.75" hidden="false" customHeight="true" outlineLevel="0" collapsed="false">
      <c r="A352" s="3" t="n">
        <v>46144</v>
      </c>
      <c r="B352" s="4" t="str">
        <f aca="false">TEXT(A352,"MMM YYYY")</f>
        <v>May 2026</v>
      </c>
      <c r="C352" s="5" t="s">
        <v>17</v>
      </c>
      <c r="D352" s="5" t="s">
        <v>15</v>
      </c>
      <c r="E352" s="5" t="s">
        <v>20</v>
      </c>
      <c r="F352" s="6" t="n">
        <v>1196</v>
      </c>
      <c r="G352" s="6" t="n">
        <v>100</v>
      </c>
      <c r="H352" s="6" t="n">
        <v>1380</v>
      </c>
      <c r="I352" s="6" t="n">
        <v>52072</v>
      </c>
      <c r="J352" s="6" t="n">
        <v>62</v>
      </c>
      <c r="K352" s="6" t="n">
        <v>119600</v>
      </c>
    </row>
    <row r="353" customFormat="false" ht="15.75" hidden="false" customHeight="true" outlineLevel="0" collapsed="false">
      <c r="A353" s="7" t="n">
        <v>46145</v>
      </c>
      <c r="B353" s="8" t="str">
        <f aca="false">TEXT(A353,"MMM YYYY")</f>
        <v>May 2026</v>
      </c>
      <c r="C353" s="9" t="s">
        <v>11</v>
      </c>
      <c r="D353" s="9" t="s">
        <v>19</v>
      </c>
      <c r="E353" s="9" t="s">
        <v>13</v>
      </c>
      <c r="F353" s="10" t="n">
        <v>368</v>
      </c>
      <c r="G353" s="10" t="n">
        <v>35</v>
      </c>
      <c r="H353" s="10" t="n">
        <v>644</v>
      </c>
      <c r="I353" s="10" t="n">
        <v>12144</v>
      </c>
      <c r="J353" s="10" t="n">
        <v>26</v>
      </c>
      <c r="K353" s="10" t="n">
        <v>12880</v>
      </c>
    </row>
    <row r="354" customFormat="false" ht="15.75" hidden="false" customHeight="true" outlineLevel="0" collapsed="false">
      <c r="A354" s="3" t="n">
        <v>46145</v>
      </c>
      <c r="B354" s="4" t="str">
        <f aca="false">TEXT(A354,"MMM YYYY")</f>
        <v>May 2026</v>
      </c>
      <c r="C354" s="5" t="s">
        <v>11</v>
      </c>
      <c r="D354" s="5" t="s">
        <v>21</v>
      </c>
      <c r="E354" s="5" t="s">
        <v>13</v>
      </c>
      <c r="F354" s="6" t="n">
        <v>460</v>
      </c>
      <c r="G354" s="6" t="n">
        <v>50</v>
      </c>
      <c r="H354" s="6" t="n">
        <v>1472</v>
      </c>
      <c r="I354" s="6" t="n">
        <v>31464</v>
      </c>
      <c r="J354" s="6" t="n">
        <v>30</v>
      </c>
      <c r="K354" s="6" t="n">
        <v>23000</v>
      </c>
    </row>
    <row r="355" customFormat="false" ht="15.75" hidden="false" customHeight="true" outlineLevel="0" collapsed="false">
      <c r="A355" s="7" t="n">
        <v>46145</v>
      </c>
      <c r="B355" s="8" t="str">
        <f aca="false">TEXT(A355,"MMM YYYY")</f>
        <v>May 2026</v>
      </c>
      <c r="C355" s="9" t="s">
        <v>11</v>
      </c>
      <c r="D355" s="9" t="s">
        <v>12</v>
      </c>
      <c r="E355" s="9" t="s">
        <v>16</v>
      </c>
      <c r="F355" s="10" t="n">
        <v>92</v>
      </c>
      <c r="G355" s="10" t="n">
        <v>50</v>
      </c>
      <c r="H355" s="10" t="n">
        <v>644</v>
      </c>
      <c r="I355" s="10" t="n">
        <v>17848</v>
      </c>
      <c r="J355" s="10" t="n">
        <v>51</v>
      </c>
      <c r="K355" s="10" t="n">
        <v>4600</v>
      </c>
    </row>
    <row r="356" customFormat="false" ht="15.75" hidden="false" customHeight="true" outlineLevel="0" collapsed="false">
      <c r="A356" s="3" t="n">
        <v>46145</v>
      </c>
      <c r="B356" s="4" t="str">
        <f aca="false">TEXT(A356,"MMM YYYY")</f>
        <v>May 2026</v>
      </c>
      <c r="C356" s="5" t="s">
        <v>14</v>
      </c>
      <c r="D356" s="5" t="s">
        <v>21</v>
      </c>
      <c r="E356" s="5" t="s">
        <v>20</v>
      </c>
      <c r="F356" s="6" t="n">
        <v>276</v>
      </c>
      <c r="G356" s="6" t="n">
        <v>50</v>
      </c>
      <c r="H356" s="6" t="n">
        <v>1472</v>
      </c>
      <c r="I356" s="6" t="n">
        <v>31464</v>
      </c>
      <c r="J356" s="6" t="n">
        <v>30</v>
      </c>
      <c r="K356" s="6" t="n">
        <v>13800</v>
      </c>
    </row>
    <row r="357" customFormat="false" ht="15.75" hidden="false" customHeight="true" outlineLevel="0" collapsed="false">
      <c r="A357" s="7" t="n">
        <v>46145</v>
      </c>
      <c r="B357" s="8" t="str">
        <f aca="false">TEXT(A357,"MMM YYYY")</f>
        <v>May 2026</v>
      </c>
      <c r="C357" s="9" t="s">
        <v>14</v>
      </c>
      <c r="D357" s="9" t="s">
        <v>12</v>
      </c>
      <c r="E357" s="9" t="s">
        <v>16</v>
      </c>
      <c r="F357" s="10" t="n">
        <v>1012</v>
      </c>
      <c r="G357" s="10" t="n">
        <v>25</v>
      </c>
      <c r="H357" s="10" t="n">
        <v>644</v>
      </c>
      <c r="I357" s="10" t="n">
        <v>17848</v>
      </c>
      <c r="J357" s="10" t="n">
        <v>51</v>
      </c>
      <c r="K357" s="10" t="n">
        <v>25300</v>
      </c>
    </row>
    <row r="358" customFormat="false" ht="15.75" hidden="false" customHeight="true" outlineLevel="0" collapsed="false">
      <c r="A358" s="3" t="n">
        <v>46145</v>
      </c>
      <c r="B358" s="4" t="str">
        <f aca="false">TEXT(A358,"MMM YYYY")</f>
        <v>May 2026</v>
      </c>
      <c r="C358" s="5" t="s">
        <v>17</v>
      </c>
      <c r="D358" s="5" t="s">
        <v>21</v>
      </c>
      <c r="E358" s="5" t="s">
        <v>13</v>
      </c>
      <c r="F358" s="6" t="n">
        <v>1472</v>
      </c>
      <c r="G358" s="6" t="n">
        <v>25</v>
      </c>
      <c r="H358" s="6" t="n">
        <v>1472</v>
      </c>
      <c r="I358" s="6" t="n">
        <v>31464</v>
      </c>
      <c r="J358" s="6" t="n">
        <v>30</v>
      </c>
      <c r="K358" s="6" t="n">
        <v>36800</v>
      </c>
    </row>
    <row r="359" customFormat="false" ht="15.75" hidden="false" customHeight="true" outlineLevel="0" collapsed="false">
      <c r="A359" s="7" t="n">
        <v>46145</v>
      </c>
      <c r="B359" s="8" t="str">
        <f aca="false">TEXT(A359,"MMM YYYY")</f>
        <v>May 2026</v>
      </c>
      <c r="C359" s="9" t="s">
        <v>17</v>
      </c>
      <c r="D359" s="9" t="s">
        <v>12</v>
      </c>
      <c r="E359" s="9" t="s">
        <v>13</v>
      </c>
      <c r="F359" s="10" t="n">
        <v>736</v>
      </c>
      <c r="G359" s="10" t="n">
        <v>75</v>
      </c>
      <c r="H359" s="10" t="n">
        <v>644</v>
      </c>
      <c r="I359" s="10" t="n">
        <v>17848</v>
      </c>
      <c r="J359" s="10" t="n">
        <v>51</v>
      </c>
      <c r="K359" s="10" t="n">
        <v>55200</v>
      </c>
    </row>
    <row r="360" customFormat="false" ht="15.75" hidden="false" customHeight="true" outlineLevel="0" collapsed="false">
      <c r="A360" s="3" t="n">
        <v>46146</v>
      </c>
      <c r="B360" s="4" t="str">
        <f aca="false">TEXT(A360,"MMM YYYY")</f>
        <v>May 2026</v>
      </c>
      <c r="C360" s="5" t="s">
        <v>11</v>
      </c>
      <c r="D360" s="5" t="s">
        <v>21</v>
      </c>
      <c r="E360" s="5" t="s">
        <v>13</v>
      </c>
      <c r="F360" s="6" t="n">
        <v>1104</v>
      </c>
      <c r="G360" s="6" t="n">
        <v>50</v>
      </c>
      <c r="H360" s="6" t="n">
        <v>460</v>
      </c>
      <c r="I360" s="6" t="n">
        <v>9936</v>
      </c>
      <c r="J360" s="6" t="n">
        <v>39</v>
      </c>
      <c r="K360" s="6" t="n">
        <v>55200</v>
      </c>
    </row>
    <row r="361" customFormat="false" ht="15.75" hidden="false" customHeight="true" outlineLevel="0" collapsed="false">
      <c r="A361" s="7" t="n">
        <v>46146</v>
      </c>
      <c r="B361" s="8" t="str">
        <f aca="false">TEXT(A361,"MMM YYYY")</f>
        <v>May 2026</v>
      </c>
      <c r="C361" s="9" t="s">
        <v>11</v>
      </c>
      <c r="D361" s="9" t="s">
        <v>21</v>
      </c>
      <c r="E361" s="9" t="s">
        <v>16</v>
      </c>
      <c r="F361" s="10" t="n">
        <v>1104</v>
      </c>
      <c r="G361" s="10" t="n">
        <v>35</v>
      </c>
      <c r="H361" s="10" t="n">
        <v>460</v>
      </c>
      <c r="I361" s="10" t="n">
        <v>9936</v>
      </c>
      <c r="J361" s="10" t="n">
        <v>39</v>
      </c>
      <c r="K361" s="10" t="n">
        <v>38640</v>
      </c>
    </row>
    <row r="362" customFormat="false" ht="15.75" hidden="false" customHeight="true" outlineLevel="0" collapsed="false">
      <c r="A362" s="3" t="n">
        <v>46146</v>
      </c>
      <c r="B362" s="4" t="str">
        <f aca="false">TEXT(A362,"MMM YYYY")</f>
        <v>May 2026</v>
      </c>
      <c r="C362" s="5" t="s">
        <v>17</v>
      </c>
      <c r="D362" s="5" t="s">
        <v>12</v>
      </c>
      <c r="E362" s="5" t="s">
        <v>13</v>
      </c>
      <c r="F362" s="6" t="n">
        <v>736</v>
      </c>
      <c r="G362" s="6" t="n">
        <v>75</v>
      </c>
      <c r="H362" s="6" t="n">
        <v>552</v>
      </c>
      <c r="I362" s="6" t="n">
        <v>16284</v>
      </c>
      <c r="J362" s="6" t="n">
        <v>40</v>
      </c>
      <c r="K362" s="6" t="n">
        <v>55200</v>
      </c>
    </row>
    <row r="363" customFormat="false" ht="15.75" hidden="false" customHeight="true" outlineLevel="0" collapsed="false">
      <c r="A363" s="7" t="n">
        <v>46146</v>
      </c>
      <c r="B363" s="8" t="str">
        <f aca="false">TEXT(A363,"MMM YYYY")</f>
        <v>May 2026</v>
      </c>
      <c r="C363" s="9" t="s">
        <v>17</v>
      </c>
      <c r="D363" s="9" t="s">
        <v>12</v>
      </c>
      <c r="E363" s="9" t="s">
        <v>16</v>
      </c>
      <c r="F363" s="10" t="n">
        <v>1564</v>
      </c>
      <c r="G363" s="10" t="n">
        <v>100</v>
      </c>
      <c r="H363" s="10" t="n">
        <v>552</v>
      </c>
      <c r="I363" s="10" t="n">
        <v>16284</v>
      </c>
      <c r="J363" s="10" t="n">
        <v>40</v>
      </c>
      <c r="K363" s="10" t="n">
        <v>156400</v>
      </c>
    </row>
    <row r="364" customFormat="false" ht="15.75" hidden="false" customHeight="true" outlineLevel="0" collapsed="false">
      <c r="A364" s="3" t="n">
        <v>46147</v>
      </c>
      <c r="B364" s="4" t="str">
        <f aca="false">TEXT(A364,"MMM YYYY")</f>
        <v>May 2026</v>
      </c>
      <c r="C364" s="5" t="s">
        <v>14</v>
      </c>
      <c r="D364" s="5" t="s">
        <v>21</v>
      </c>
      <c r="E364" s="5" t="s">
        <v>20</v>
      </c>
      <c r="F364" s="6" t="n">
        <v>1288</v>
      </c>
      <c r="G364" s="6" t="n">
        <v>50</v>
      </c>
      <c r="H364" s="6" t="n">
        <v>644</v>
      </c>
      <c r="I364" s="6" t="n">
        <v>31832</v>
      </c>
      <c r="J364" s="6" t="n">
        <v>33</v>
      </c>
      <c r="K364" s="6" t="n">
        <v>64400</v>
      </c>
    </row>
    <row r="365" customFormat="false" ht="15.75" hidden="false" customHeight="true" outlineLevel="0" collapsed="false">
      <c r="A365" s="7" t="n">
        <v>46147</v>
      </c>
      <c r="B365" s="8" t="str">
        <f aca="false">TEXT(A365,"MMM YYYY")</f>
        <v>May 2026</v>
      </c>
      <c r="C365" s="9" t="s">
        <v>17</v>
      </c>
      <c r="D365" s="9" t="s">
        <v>18</v>
      </c>
      <c r="E365" s="9" t="s">
        <v>16</v>
      </c>
      <c r="F365" s="10" t="n">
        <v>1656</v>
      </c>
      <c r="G365" s="10" t="n">
        <v>100</v>
      </c>
      <c r="H365" s="10" t="n">
        <v>1288</v>
      </c>
      <c r="I365" s="10" t="n">
        <v>39100</v>
      </c>
      <c r="J365" s="10" t="n">
        <v>77</v>
      </c>
      <c r="K365" s="10" t="n">
        <v>165600</v>
      </c>
    </row>
    <row r="366" customFormat="false" ht="15.75" hidden="false" customHeight="true" outlineLevel="0" collapsed="false">
      <c r="A366" s="3" t="n">
        <v>46147</v>
      </c>
      <c r="B366" s="4" t="str">
        <f aca="false">TEXT(A366,"MMM YYYY")</f>
        <v>May 2026</v>
      </c>
      <c r="C366" s="5" t="s">
        <v>17</v>
      </c>
      <c r="D366" s="5" t="s">
        <v>21</v>
      </c>
      <c r="E366" s="5" t="s">
        <v>16</v>
      </c>
      <c r="F366" s="6" t="n">
        <v>92</v>
      </c>
      <c r="G366" s="6" t="n">
        <v>50</v>
      </c>
      <c r="H366" s="6" t="n">
        <v>644</v>
      </c>
      <c r="I366" s="6" t="n">
        <v>31832</v>
      </c>
      <c r="J366" s="6" t="n">
        <v>33</v>
      </c>
      <c r="K366" s="6" t="n">
        <v>4600</v>
      </c>
    </row>
    <row r="367" customFormat="false" ht="15.75" hidden="false" customHeight="true" outlineLevel="0" collapsed="false">
      <c r="A367" s="7" t="n">
        <v>46147</v>
      </c>
      <c r="B367" s="8" t="str">
        <f aca="false">TEXT(A367,"MMM YYYY")</f>
        <v>May 2026</v>
      </c>
      <c r="C367" s="9" t="s">
        <v>17</v>
      </c>
      <c r="D367" s="9" t="s">
        <v>12</v>
      </c>
      <c r="E367" s="9" t="s">
        <v>16</v>
      </c>
      <c r="F367" s="10" t="n">
        <v>368</v>
      </c>
      <c r="G367" s="10" t="n">
        <v>35</v>
      </c>
      <c r="H367" s="10" t="n">
        <v>1104</v>
      </c>
      <c r="I367" s="10" t="n">
        <v>6808</v>
      </c>
      <c r="J367" s="10" t="n">
        <v>48</v>
      </c>
      <c r="K367" s="10" t="n">
        <v>12880</v>
      </c>
    </row>
    <row r="368" customFormat="false" ht="15.75" hidden="false" customHeight="true" outlineLevel="0" collapsed="false">
      <c r="A368" s="3" t="n">
        <v>46148</v>
      </c>
      <c r="B368" s="4" t="str">
        <f aca="false">TEXT(A368,"MMM YYYY")</f>
        <v>May 2026</v>
      </c>
      <c r="C368" s="5" t="s">
        <v>11</v>
      </c>
      <c r="D368" s="5" t="s">
        <v>18</v>
      </c>
      <c r="E368" s="5" t="s">
        <v>20</v>
      </c>
      <c r="F368" s="6" t="n">
        <v>460</v>
      </c>
      <c r="G368" s="6" t="n">
        <v>75</v>
      </c>
      <c r="H368" s="6" t="n">
        <v>552</v>
      </c>
      <c r="I368" s="6" t="n">
        <v>3588</v>
      </c>
      <c r="J368" s="6" t="n">
        <v>81</v>
      </c>
      <c r="K368" s="6" t="n">
        <v>34500</v>
      </c>
    </row>
    <row r="369" customFormat="false" ht="15.75" hidden="false" customHeight="true" outlineLevel="0" collapsed="false">
      <c r="A369" s="7" t="n">
        <v>46148</v>
      </c>
      <c r="B369" s="8" t="str">
        <f aca="false">TEXT(A369,"MMM YYYY")</f>
        <v>May 2026</v>
      </c>
      <c r="C369" s="9" t="s">
        <v>11</v>
      </c>
      <c r="D369" s="9" t="s">
        <v>21</v>
      </c>
      <c r="E369" s="9" t="s">
        <v>20</v>
      </c>
      <c r="F369" s="10" t="n">
        <v>920</v>
      </c>
      <c r="G369" s="10" t="n">
        <v>25</v>
      </c>
      <c r="H369" s="10" t="n">
        <v>1104</v>
      </c>
      <c r="I369" s="10" t="n">
        <v>11040</v>
      </c>
      <c r="J369" s="10" t="n">
        <v>30</v>
      </c>
      <c r="K369" s="10" t="n">
        <v>23000</v>
      </c>
    </row>
    <row r="370" customFormat="false" ht="15.75" hidden="false" customHeight="true" outlineLevel="0" collapsed="false">
      <c r="A370" s="3" t="n">
        <v>46148</v>
      </c>
      <c r="B370" s="4" t="str">
        <f aca="false">TEXT(A370,"MMM YYYY")</f>
        <v>May 2026</v>
      </c>
      <c r="C370" s="5" t="s">
        <v>14</v>
      </c>
      <c r="D370" s="5" t="s">
        <v>18</v>
      </c>
      <c r="E370" s="5" t="s">
        <v>13</v>
      </c>
      <c r="F370" s="6" t="n">
        <v>276</v>
      </c>
      <c r="G370" s="6" t="n">
        <v>25</v>
      </c>
      <c r="H370" s="6" t="n">
        <v>552</v>
      </c>
      <c r="I370" s="6" t="n">
        <v>3588</v>
      </c>
      <c r="J370" s="6" t="n">
        <v>81</v>
      </c>
      <c r="K370" s="6" t="n">
        <v>6900</v>
      </c>
    </row>
    <row r="371" customFormat="false" ht="15.75" hidden="false" customHeight="true" outlineLevel="0" collapsed="false">
      <c r="A371" s="7" t="n">
        <v>46148</v>
      </c>
      <c r="B371" s="8" t="str">
        <f aca="false">TEXT(A371,"MMM YYYY")</f>
        <v>May 2026</v>
      </c>
      <c r="C371" s="9" t="s">
        <v>17</v>
      </c>
      <c r="D371" s="9" t="s">
        <v>18</v>
      </c>
      <c r="E371" s="9" t="s">
        <v>16</v>
      </c>
      <c r="F371" s="10" t="n">
        <v>1196</v>
      </c>
      <c r="G371" s="10" t="n">
        <v>25</v>
      </c>
      <c r="H371" s="10" t="n">
        <v>552</v>
      </c>
      <c r="I371" s="10" t="n">
        <v>3588</v>
      </c>
      <c r="J371" s="10" t="n">
        <v>81</v>
      </c>
      <c r="K371" s="10" t="n">
        <v>29900</v>
      </c>
    </row>
    <row r="372" customFormat="false" ht="15.75" hidden="false" customHeight="true" outlineLevel="0" collapsed="false">
      <c r="A372" s="3" t="n">
        <v>46148</v>
      </c>
      <c r="B372" s="4" t="str">
        <f aca="false">TEXT(A372,"MMM YYYY")</f>
        <v>May 2026</v>
      </c>
      <c r="C372" s="5" t="s">
        <v>17</v>
      </c>
      <c r="D372" s="5" t="s">
        <v>19</v>
      </c>
      <c r="E372" s="5" t="s">
        <v>20</v>
      </c>
      <c r="F372" s="6" t="n">
        <v>184</v>
      </c>
      <c r="G372" s="6" t="n">
        <v>25</v>
      </c>
      <c r="H372" s="6" t="n">
        <v>1104</v>
      </c>
      <c r="I372" s="6" t="n">
        <v>17112</v>
      </c>
      <c r="J372" s="6" t="n">
        <v>25</v>
      </c>
      <c r="K372" s="6" t="n">
        <v>4600</v>
      </c>
    </row>
    <row r="373" customFormat="false" ht="15.75" hidden="false" customHeight="true" outlineLevel="0" collapsed="false">
      <c r="A373" s="7" t="n">
        <v>46148</v>
      </c>
      <c r="B373" s="8" t="str">
        <f aca="false">TEXT(A373,"MMM YYYY")</f>
        <v>May 2026</v>
      </c>
      <c r="C373" s="9" t="s">
        <v>17</v>
      </c>
      <c r="D373" s="9" t="s">
        <v>12</v>
      </c>
      <c r="E373" s="9" t="s">
        <v>13</v>
      </c>
      <c r="F373" s="10" t="n">
        <v>1748</v>
      </c>
      <c r="G373" s="10" t="n">
        <v>75</v>
      </c>
      <c r="H373" s="10" t="n">
        <v>2760</v>
      </c>
      <c r="I373" s="10" t="n">
        <v>24104</v>
      </c>
      <c r="J373" s="10" t="n">
        <v>50</v>
      </c>
      <c r="K373" s="10" t="n">
        <v>161000</v>
      </c>
    </row>
    <row r="374" customFormat="false" ht="15.75" hidden="false" customHeight="true" outlineLevel="0" collapsed="false">
      <c r="A374" s="3" t="n">
        <v>46149</v>
      </c>
      <c r="B374" s="4" t="str">
        <f aca="false">TEXT(A374,"MMM YYYY")</f>
        <v>May 2026</v>
      </c>
      <c r="C374" s="5" t="s">
        <v>11</v>
      </c>
      <c r="D374" s="5" t="s">
        <v>21</v>
      </c>
      <c r="E374" s="5" t="s">
        <v>13</v>
      </c>
      <c r="F374" s="6" t="n">
        <v>1564</v>
      </c>
      <c r="G374" s="6" t="n">
        <v>50</v>
      </c>
      <c r="H374" s="6" t="n">
        <v>368</v>
      </c>
      <c r="I374" s="6" t="n">
        <v>17480</v>
      </c>
      <c r="J374" s="6" t="n">
        <v>33</v>
      </c>
      <c r="K374" s="6" t="n">
        <v>78200</v>
      </c>
    </row>
    <row r="375" customFormat="false" ht="15.75" hidden="false" customHeight="true" outlineLevel="0" collapsed="false">
      <c r="A375" s="7" t="n">
        <v>46149</v>
      </c>
      <c r="B375" s="8" t="str">
        <f aca="false">TEXT(A375,"MMM YYYY")</f>
        <v>May 2026</v>
      </c>
      <c r="C375" s="9" t="s">
        <v>11</v>
      </c>
      <c r="D375" s="9" t="s">
        <v>12</v>
      </c>
      <c r="E375" s="9" t="s">
        <v>16</v>
      </c>
      <c r="F375" s="10" t="n">
        <v>3036</v>
      </c>
      <c r="G375" s="10" t="n">
        <v>100</v>
      </c>
      <c r="H375" s="10" t="n">
        <v>2576</v>
      </c>
      <c r="I375" s="10" t="n">
        <v>62376</v>
      </c>
      <c r="J375" s="10" t="n">
        <v>47</v>
      </c>
      <c r="K375" s="10" t="n">
        <v>303600</v>
      </c>
    </row>
    <row r="376" customFormat="false" ht="15.75" hidden="false" customHeight="true" outlineLevel="0" collapsed="false">
      <c r="A376" s="3" t="n">
        <v>46149</v>
      </c>
      <c r="B376" s="4" t="str">
        <f aca="false">TEXT(A376,"MMM YYYY")</f>
        <v>May 2026</v>
      </c>
      <c r="C376" s="5" t="s">
        <v>11</v>
      </c>
      <c r="D376" s="5" t="s">
        <v>15</v>
      </c>
      <c r="E376" s="5" t="s">
        <v>20</v>
      </c>
      <c r="F376" s="6" t="n">
        <v>368</v>
      </c>
      <c r="G376" s="6" t="n">
        <v>25</v>
      </c>
      <c r="H376" s="6" t="n">
        <v>368</v>
      </c>
      <c r="I376" s="6" t="n">
        <v>15824</v>
      </c>
      <c r="J376" s="6" t="n">
        <v>63</v>
      </c>
      <c r="K376" s="6" t="n">
        <v>9200</v>
      </c>
    </row>
    <row r="377" customFormat="false" ht="15.75" hidden="false" customHeight="true" outlineLevel="0" collapsed="false">
      <c r="A377" s="7" t="n">
        <v>46149</v>
      </c>
      <c r="B377" s="8" t="str">
        <f aca="false">TEXT(A377,"MMM YYYY")</f>
        <v>May 2026</v>
      </c>
      <c r="C377" s="9" t="s">
        <v>14</v>
      </c>
      <c r="D377" s="9" t="s">
        <v>21</v>
      </c>
      <c r="E377" s="9" t="s">
        <v>20</v>
      </c>
      <c r="F377" s="10" t="n">
        <v>736</v>
      </c>
      <c r="G377" s="10" t="n">
        <v>25</v>
      </c>
      <c r="H377" s="10" t="n">
        <v>368</v>
      </c>
      <c r="I377" s="10" t="n">
        <v>17480</v>
      </c>
      <c r="J377" s="10" t="n">
        <v>33</v>
      </c>
      <c r="K377" s="10" t="n">
        <v>18400</v>
      </c>
    </row>
    <row r="378" customFormat="false" ht="15.75" hidden="false" customHeight="true" outlineLevel="0" collapsed="false">
      <c r="A378" s="3" t="n">
        <v>46149</v>
      </c>
      <c r="B378" s="4" t="str">
        <f aca="false">TEXT(A378,"MMM YYYY")</f>
        <v>May 2026</v>
      </c>
      <c r="C378" s="5" t="s">
        <v>14</v>
      </c>
      <c r="D378" s="5" t="s">
        <v>12</v>
      </c>
      <c r="E378" s="5" t="s">
        <v>20</v>
      </c>
      <c r="F378" s="6" t="n">
        <v>92</v>
      </c>
      <c r="G378" s="6" t="n">
        <v>35</v>
      </c>
      <c r="H378" s="6" t="n">
        <v>1288</v>
      </c>
      <c r="I378" s="6" t="n">
        <v>31188</v>
      </c>
      <c r="J378" s="6" t="n">
        <v>47</v>
      </c>
      <c r="K378" s="6" t="n">
        <v>3220</v>
      </c>
    </row>
    <row r="379" customFormat="false" ht="15.75" hidden="false" customHeight="true" outlineLevel="0" collapsed="false">
      <c r="A379" s="7" t="n">
        <v>46150</v>
      </c>
      <c r="B379" s="8" t="str">
        <f aca="false">TEXT(A379,"MMM YYYY")</f>
        <v>May 2026</v>
      </c>
      <c r="C379" s="9" t="s">
        <v>11</v>
      </c>
      <c r="D379" s="9" t="s">
        <v>21</v>
      </c>
      <c r="E379" s="9" t="s">
        <v>13</v>
      </c>
      <c r="F379" s="10" t="n">
        <v>1656</v>
      </c>
      <c r="G379" s="10" t="n">
        <v>75</v>
      </c>
      <c r="H379" s="10" t="n">
        <v>1196</v>
      </c>
      <c r="I379" s="10" t="n">
        <v>33764</v>
      </c>
      <c r="J379" s="10" t="n">
        <v>39</v>
      </c>
      <c r="K379" s="10" t="n">
        <v>124200</v>
      </c>
    </row>
    <row r="380" customFormat="false" ht="15.75" hidden="false" customHeight="true" outlineLevel="0" collapsed="false">
      <c r="A380" s="3" t="n">
        <v>46150</v>
      </c>
      <c r="B380" s="4" t="str">
        <f aca="false">TEXT(A380,"MMM YYYY")</f>
        <v>May 2026</v>
      </c>
      <c r="C380" s="5" t="s">
        <v>11</v>
      </c>
      <c r="D380" s="5" t="s">
        <v>15</v>
      </c>
      <c r="E380" s="5" t="s">
        <v>13</v>
      </c>
      <c r="F380" s="6" t="n">
        <v>1564</v>
      </c>
      <c r="G380" s="6" t="n">
        <v>62.5</v>
      </c>
      <c r="H380" s="6" t="n">
        <v>2576</v>
      </c>
      <c r="I380" s="6" t="n">
        <v>31464</v>
      </c>
      <c r="J380" s="6" t="n">
        <v>73</v>
      </c>
      <c r="K380" s="6" t="n">
        <v>82800</v>
      </c>
    </row>
    <row r="381" customFormat="false" ht="15.75" hidden="false" customHeight="true" outlineLevel="0" collapsed="false">
      <c r="A381" s="7" t="n">
        <v>46150</v>
      </c>
      <c r="B381" s="8" t="str">
        <f aca="false">TEXT(A381,"MMM YYYY")</f>
        <v>May 2026</v>
      </c>
      <c r="C381" s="9" t="s">
        <v>14</v>
      </c>
      <c r="D381" s="9" t="s">
        <v>18</v>
      </c>
      <c r="E381" s="9" t="s">
        <v>13</v>
      </c>
      <c r="F381" s="10" t="n">
        <v>368</v>
      </c>
      <c r="G381" s="10" t="n">
        <v>35</v>
      </c>
      <c r="H381" s="10" t="n">
        <v>1104</v>
      </c>
      <c r="I381" s="10" t="n">
        <v>15456</v>
      </c>
      <c r="J381" s="10" t="n">
        <v>83</v>
      </c>
      <c r="K381" s="10" t="n">
        <v>12880</v>
      </c>
    </row>
    <row r="382" customFormat="false" ht="15.75" hidden="false" customHeight="true" outlineLevel="0" collapsed="false">
      <c r="A382" s="3" t="n">
        <v>46150</v>
      </c>
      <c r="B382" s="4" t="str">
        <f aca="false">TEXT(A382,"MMM YYYY")</f>
        <v>May 2026</v>
      </c>
      <c r="C382" s="5" t="s">
        <v>14</v>
      </c>
      <c r="D382" s="5" t="s">
        <v>15</v>
      </c>
      <c r="E382" s="5" t="s">
        <v>20</v>
      </c>
      <c r="F382" s="6" t="n">
        <v>1748</v>
      </c>
      <c r="G382" s="6" t="n">
        <v>35</v>
      </c>
      <c r="H382" s="6" t="n">
        <v>1288</v>
      </c>
      <c r="I382" s="6" t="n">
        <v>15732</v>
      </c>
      <c r="J382" s="6" t="n">
        <v>73</v>
      </c>
      <c r="K382" s="6" t="n">
        <v>61180</v>
      </c>
    </row>
    <row r="383" customFormat="false" ht="15.75" hidden="false" customHeight="true" outlineLevel="0" collapsed="false">
      <c r="A383" s="7" t="n">
        <v>46150</v>
      </c>
      <c r="B383" s="8" t="str">
        <f aca="false">TEXT(A383,"MMM YYYY")</f>
        <v>May 2026</v>
      </c>
      <c r="C383" s="9" t="s">
        <v>17</v>
      </c>
      <c r="D383" s="9" t="s">
        <v>19</v>
      </c>
      <c r="E383" s="9" t="s">
        <v>20</v>
      </c>
      <c r="F383" s="10" t="n">
        <v>276</v>
      </c>
      <c r="G383" s="10" t="n">
        <v>75</v>
      </c>
      <c r="H383" s="10" t="n">
        <v>644</v>
      </c>
      <c r="I383" s="10" t="n">
        <v>9200</v>
      </c>
      <c r="J383" s="10" t="n">
        <v>24</v>
      </c>
      <c r="K383" s="10" t="n">
        <v>20700</v>
      </c>
    </row>
    <row r="384" customFormat="false" ht="15.75" hidden="false" customHeight="true" outlineLevel="0" collapsed="false">
      <c r="A384" s="3" t="n">
        <v>46150</v>
      </c>
      <c r="B384" s="4" t="str">
        <f aca="false">TEXT(A384,"MMM YYYY")</f>
        <v>May 2026</v>
      </c>
      <c r="C384" s="5" t="s">
        <v>17</v>
      </c>
      <c r="D384" s="5" t="s">
        <v>21</v>
      </c>
      <c r="E384" s="5" t="s">
        <v>13</v>
      </c>
      <c r="F384" s="6" t="n">
        <v>184</v>
      </c>
      <c r="G384" s="6" t="n">
        <v>35</v>
      </c>
      <c r="H384" s="6" t="n">
        <v>1196</v>
      </c>
      <c r="I384" s="6" t="n">
        <v>33764</v>
      </c>
      <c r="J384" s="6" t="n">
        <v>39</v>
      </c>
      <c r="K384" s="6" t="n">
        <v>6440</v>
      </c>
    </row>
    <row r="385" customFormat="false" ht="15.75" hidden="false" customHeight="true" outlineLevel="0" collapsed="false">
      <c r="A385" s="7" t="n">
        <v>46150</v>
      </c>
      <c r="B385" s="8" t="str">
        <f aca="false">TEXT(A385,"MMM YYYY")</f>
        <v>May 2026</v>
      </c>
      <c r="C385" s="9" t="s">
        <v>17</v>
      </c>
      <c r="D385" s="9" t="s">
        <v>12</v>
      </c>
      <c r="E385" s="9" t="s">
        <v>20</v>
      </c>
      <c r="F385" s="10" t="n">
        <v>1012</v>
      </c>
      <c r="G385" s="10" t="n">
        <v>50</v>
      </c>
      <c r="H385" s="10" t="n">
        <v>644</v>
      </c>
      <c r="I385" s="10" t="n">
        <v>29716</v>
      </c>
      <c r="J385" s="10" t="n">
        <v>44</v>
      </c>
      <c r="K385" s="10" t="n">
        <v>50600</v>
      </c>
    </row>
    <row r="386" customFormat="false" ht="15.75" hidden="false" customHeight="true" outlineLevel="0" collapsed="false">
      <c r="A386" s="3" t="n">
        <v>46151</v>
      </c>
      <c r="B386" s="4" t="str">
        <f aca="false">TEXT(A386,"MMM YYYY")</f>
        <v>May 2026</v>
      </c>
      <c r="C386" s="5" t="s">
        <v>11</v>
      </c>
      <c r="D386" s="5" t="s">
        <v>18</v>
      </c>
      <c r="E386" s="5" t="s">
        <v>16</v>
      </c>
      <c r="F386" s="6" t="n">
        <v>644</v>
      </c>
      <c r="G386" s="6" t="n">
        <v>50</v>
      </c>
      <c r="H386" s="6" t="n">
        <v>1472</v>
      </c>
      <c r="I386" s="6" t="n">
        <v>20424</v>
      </c>
      <c r="J386" s="6" t="n">
        <v>73</v>
      </c>
      <c r="K386" s="6" t="n">
        <v>32200</v>
      </c>
    </row>
    <row r="387" customFormat="false" ht="15.75" hidden="false" customHeight="true" outlineLevel="0" collapsed="false">
      <c r="A387" s="7" t="n">
        <v>46151</v>
      </c>
      <c r="B387" s="8" t="str">
        <f aca="false">TEXT(A387,"MMM YYYY")</f>
        <v>May 2026</v>
      </c>
      <c r="C387" s="9" t="s">
        <v>11</v>
      </c>
      <c r="D387" s="9" t="s">
        <v>21</v>
      </c>
      <c r="E387" s="9" t="s">
        <v>20</v>
      </c>
      <c r="F387" s="10" t="n">
        <v>644</v>
      </c>
      <c r="G387" s="10" t="n">
        <v>100</v>
      </c>
      <c r="H387" s="10" t="n">
        <v>1380</v>
      </c>
      <c r="I387" s="10" t="n">
        <v>13892</v>
      </c>
      <c r="J387" s="10" t="n">
        <v>30</v>
      </c>
      <c r="K387" s="10" t="n">
        <v>64400</v>
      </c>
    </row>
    <row r="388" customFormat="false" ht="15.75" hidden="false" customHeight="true" outlineLevel="0" collapsed="false">
      <c r="A388" s="3" t="n">
        <v>46151</v>
      </c>
      <c r="B388" s="4" t="str">
        <f aca="false">TEXT(A388,"MMM YYYY")</f>
        <v>May 2026</v>
      </c>
      <c r="C388" s="5" t="s">
        <v>14</v>
      </c>
      <c r="D388" s="5" t="s">
        <v>19</v>
      </c>
      <c r="E388" s="5" t="s">
        <v>16</v>
      </c>
      <c r="F388" s="6" t="n">
        <v>1104</v>
      </c>
      <c r="G388" s="6" t="n">
        <v>100</v>
      </c>
      <c r="H388" s="6" t="n">
        <v>736</v>
      </c>
      <c r="I388" s="6" t="n">
        <v>23552</v>
      </c>
      <c r="J388" s="6" t="n">
        <v>35</v>
      </c>
      <c r="K388" s="6" t="n">
        <v>110400</v>
      </c>
    </row>
    <row r="389" customFormat="false" ht="15.75" hidden="false" customHeight="true" outlineLevel="0" collapsed="false">
      <c r="A389" s="7" t="n">
        <v>46151</v>
      </c>
      <c r="B389" s="8" t="str">
        <f aca="false">TEXT(A389,"MMM YYYY")</f>
        <v>May 2026</v>
      </c>
      <c r="C389" s="9" t="s">
        <v>14</v>
      </c>
      <c r="D389" s="9" t="s">
        <v>12</v>
      </c>
      <c r="E389" s="9" t="s">
        <v>16</v>
      </c>
      <c r="F389" s="10" t="n">
        <v>920</v>
      </c>
      <c r="G389" s="10" t="n">
        <v>50</v>
      </c>
      <c r="H389" s="10" t="n">
        <v>2392</v>
      </c>
      <c r="I389" s="10" t="n">
        <v>35144</v>
      </c>
      <c r="J389" s="10" t="n">
        <v>50</v>
      </c>
      <c r="K389" s="10" t="n">
        <v>27600</v>
      </c>
    </row>
    <row r="390" customFormat="false" ht="15.75" hidden="false" customHeight="true" outlineLevel="0" collapsed="false">
      <c r="A390" s="3" t="n">
        <v>46151</v>
      </c>
      <c r="B390" s="4" t="str">
        <f aca="false">TEXT(A390,"MMM YYYY")</f>
        <v>May 2026</v>
      </c>
      <c r="C390" s="5" t="s">
        <v>17</v>
      </c>
      <c r="D390" s="5" t="s">
        <v>12</v>
      </c>
      <c r="E390" s="5" t="s">
        <v>20</v>
      </c>
      <c r="F390" s="6" t="n">
        <v>92</v>
      </c>
      <c r="G390" s="6" t="n">
        <v>50</v>
      </c>
      <c r="H390" s="6" t="n">
        <v>1196</v>
      </c>
      <c r="I390" s="6" t="n">
        <v>17572</v>
      </c>
      <c r="J390" s="6" t="n">
        <v>50</v>
      </c>
      <c r="K390" s="6" t="n">
        <v>4600</v>
      </c>
    </row>
    <row r="391" customFormat="false" ht="15.75" hidden="false" customHeight="true" outlineLevel="0" collapsed="false">
      <c r="A391" s="7" t="n">
        <v>46152</v>
      </c>
      <c r="B391" s="8" t="str">
        <f aca="false">TEXT(A391,"MMM YYYY")</f>
        <v>May 2026</v>
      </c>
      <c r="C391" s="9" t="s">
        <v>11</v>
      </c>
      <c r="D391" s="9" t="s">
        <v>19</v>
      </c>
      <c r="E391" s="9" t="s">
        <v>13</v>
      </c>
      <c r="F391" s="10" t="n">
        <v>1012</v>
      </c>
      <c r="G391" s="10" t="n">
        <v>50</v>
      </c>
      <c r="H391" s="10" t="n">
        <v>552</v>
      </c>
      <c r="I391" s="10" t="n">
        <v>14536</v>
      </c>
      <c r="J391" s="10" t="n">
        <v>34</v>
      </c>
      <c r="K391" s="10" t="n">
        <v>50600</v>
      </c>
    </row>
    <row r="392" customFormat="false" ht="15.75" hidden="false" customHeight="true" outlineLevel="0" collapsed="false">
      <c r="A392" s="3" t="n">
        <v>46152</v>
      </c>
      <c r="B392" s="4" t="str">
        <f aca="false">TEXT(A392,"MMM YYYY")</f>
        <v>May 2026</v>
      </c>
      <c r="C392" s="5" t="s">
        <v>11</v>
      </c>
      <c r="D392" s="5" t="s">
        <v>15</v>
      </c>
      <c r="E392" s="5" t="s">
        <v>20</v>
      </c>
      <c r="F392" s="6" t="n">
        <v>460</v>
      </c>
      <c r="G392" s="6" t="n">
        <v>35</v>
      </c>
      <c r="H392" s="6" t="n">
        <v>368</v>
      </c>
      <c r="I392" s="6" t="n">
        <v>11132</v>
      </c>
      <c r="J392" s="6" t="n">
        <v>57</v>
      </c>
      <c r="K392" s="6" t="n">
        <v>16100</v>
      </c>
    </row>
    <row r="393" customFormat="false" ht="15.75" hidden="false" customHeight="true" outlineLevel="0" collapsed="false">
      <c r="A393" s="7" t="n">
        <v>46152</v>
      </c>
      <c r="B393" s="8" t="str">
        <f aca="false">TEXT(A393,"MMM YYYY")</f>
        <v>May 2026</v>
      </c>
      <c r="C393" s="9" t="s">
        <v>14</v>
      </c>
      <c r="D393" s="9" t="s">
        <v>18</v>
      </c>
      <c r="E393" s="9" t="s">
        <v>16</v>
      </c>
      <c r="F393" s="10" t="n">
        <v>1380</v>
      </c>
      <c r="G393" s="10" t="n">
        <v>25</v>
      </c>
      <c r="H393" s="10" t="n">
        <v>828</v>
      </c>
      <c r="I393" s="10" t="n">
        <v>11408</v>
      </c>
      <c r="J393" s="10" t="n">
        <v>82</v>
      </c>
      <c r="K393" s="10" t="n">
        <v>34500</v>
      </c>
    </row>
    <row r="394" customFormat="false" ht="15.75" hidden="false" customHeight="true" outlineLevel="0" collapsed="false">
      <c r="A394" s="3" t="n">
        <v>46152</v>
      </c>
      <c r="B394" s="4" t="str">
        <f aca="false">TEXT(A394,"MMM YYYY")</f>
        <v>May 2026</v>
      </c>
      <c r="C394" s="5" t="s">
        <v>14</v>
      </c>
      <c r="D394" s="5" t="s">
        <v>19</v>
      </c>
      <c r="E394" s="5" t="s">
        <v>16</v>
      </c>
      <c r="F394" s="6" t="n">
        <v>1380</v>
      </c>
      <c r="G394" s="6" t="n">
        <v>50</v>
      </c>
      <c r="H394" s="6" t="n">
        <v>552</v>
      </c>
      <c r="I394" s="6" t="n">
        <v>14536</v>
      </c>
      <c r="J394" s="6" t="n">
        <v>34</v>
      </c>
      <c r="K394" s="6" t="n">
        <v>69000</v>
      </c>
    </row>
    <row r="395" customFormat="false" ht="15.75" hidden="false" customHeight="true" outlineLevel="0" collapsed="false">
      <c r="A395" s="7" t="n">
        <v>46152</v>
      </c>
      <c r="B395" s="8" t="str">
        <f aca="false">TEXT(A395,"MMM YYYY")</f>
        <v>May 2026</v>
      </c>
      <c r="C395" s="9" t="s">
        <v>14</v>
      </c>
      <c r="D395" s="9" t="s">
        <v>12</v>
      </c>
      <c r="E395" s="9" t="s">
        <v>13</v>
      </c>
      <c r="F395" s="10" t="n">
        <v>460</v>
      </c>
      <c r="G395" s="10" t="n">
        <v>100</v>
      </c>
      <c r="H395" s="10" t="n">
        <v>1472</v>
      </c>
      <c r="I395" s="10" t="n">
        <v>60352</v>
      </c>
      <c r="J395" s="10" t="n">
        <v>59</v>
      </c>
      <c r="K395" s="10" t="n">
        <v>46000</v>
      </c>
    </row>
    <row r="396" customFormat="false" ht="15.75" hidden="false" customHeight="true" outlineLevel="0" collapsed="false">
      <c r="A396" s="3" t="n">
        <v>46152</v>
      </c>
      <c r="B396" s="4" t="str">
        <f aca="false">TEXT(A396,"MMM YYYY")</f>
        <v>May 2026</v>
      </c>
      <c r="C396" s="5" t="s">
        <v>17</v>
      </c>
      <c r="D396" s="5" t="s">
        <v>18</v>
      </c>
      <c r="E396" s="5" t="s">
        <v>13</v>
      </c>
      <c r="F396" s="6" t="n">
        <v>1196</v>
      </c>
      <c r="G396" s="6" t="n">
        <v>25</v>
      </c>
      <c r="H396" s="6" t="n">
        <v>828</v>
      </c>
      <c r="I396" s="6" t="n">
        <v>11408</v>
      </c>
      <c r="J396" s="6" t="n">
        <v>82</v>
      </c>
      <c r="K396" s="6" t="n">
        <v>29900</v>
      </c>
    </row>
    <row r="397" customFormat="false" ht="15.75" hidden="false" customHeight="true" outlineLevel="0" collapsed="false">
      <c r="A397" s="7" t="n">
        <v>46153</v>
      </c>
      <c r="B397" s="8" t="str">
        <f aca="false">TEXT(A397,"MMM YYYY")</f>
        <v>May 2026</v>
      </c>
      <c r="C397" s="9" t="s">
        <v>11</v>
      </c>
      <c r="D397" s="9" t="s">
        <v>19</v>
      </c>
      <c r="E397" s="9" t="s">
        <v>16</v>
      </c>
      <c r="F397" s="10" t="n">
        <v>1012</v>
      </c>
      <c r="G397" s="10" t="n">
        <v>30</v>
      </c>
      <c r="H397" s="10" t="n">
        <v>2024</v>
      </c>
      <c r="I397" s="10" t="n">
        <v>87032</v>
      </c>
      <c r="J397" s="10" t="n">
        <v>34</v>
      </c>
      <c r="K397" s="10" t="n">
        <v>29900</v>
      </c>
    </row>
    <row r="398" customFormat="false" ht="15.75" hidden="false" customHeight="true" outlineLevel="0" collapsed="false">
      <c r="A398" s="3" t="n">
        <v>46153</v>
      </c>
      <c r="B398" s="4" t="str">
        <f aca="false">TEXT(A398,"MMM YYYY")</f>
        <v>May 2026</v>
      </c>
      <c r="C398" s="5" t="s">
        <v>14</v>
      </c>
      <c r="D398" s="5" t="s">
        <v>21</v>
      </c>
      <c r="E398" s="5" t="s">
        <v>13</v>
      </c>
      <c r="F398" s="6" t="n">
        <v>1380</v>
      </c>
      <c r="G398" s="6" t="n">
        <v>25</v>
      </c>
      <c r="H398" s="6" t="n">
        <v>368</v>
      </c>
      <c r="I398" s="6" t="n">
        <v>9108</v>
      </c>
      <c r="J398" s="6" t="n">
        <v>38</v>
      </c>
      <c r="K398" s="6" t="n">
        <v>34500</v>
      </c>
    </row>
    <row r="399" customFormat="false" ht="15.75" hidden="false" customHeight="true" outlineLevel="0" collapsed="false">
      <c r="A399" s="7" t="n">
        <v>46153</v>
      </c>
      <c r="B399" s="8" t="str">
        <f aca="false">TEXT(A399,"MMM YYYY")</f>
        <v>May 2026</v>
      </c>
      <c r="C399" s="9" t="s">
        <v>14</v>
      </c>
      <c r="D399" s="9" t="s">
        <v>12</v>
      </c>
      <c r="E399" s="9" t="s">
        <v>13</v>
      </c>
      <c r="F399" s="10" t="n">
        <v>1748</v>
      </c>
      <c r="G399" s="10" t="n">
        <v>50</v>
      </c>
      <c r="H399" s="10" t="n">
        <v>552</v>
      </c>
      <c r="I399" s="10" t="n">
        <v>11776</v>
      </c>
      <c r="J399" s="10" t="n">
        <v>47</v>
      </c>
      <c r="K399" s="10" t="n">
        <v>87400</v>
      </c>
    </row>
    <row r="400" customFormat="false" ht="15.75" hidden="false" customHeight="true" outlineLevel="0" collapsed="false">
      <c r="A400" s="3" t="n">
        <v>46153</v>
      </c>
      <c r="B400" s="4" t="str">
        <f aca="false">TEXT(A400,"MMM YYYY")</f>
        <v>May 2026</v>
      </c>
      <c r="C400" s="5" t="s">
        <v>14</v>
      </c>
      <c r="D400" s="5" t="s">
        <v>12</v>
      </c>
      <c r="E400" s="5" t="s">
        <v>20</v>
      </c>
      <c r="F400" s="6" t="n">
        <v>920</v>
      </c>
      <c r="G400" s="6" t="n">
        <v>100</v>
      </c>
      <c r="H400" s="6" t="n">
        <v>552</v>
      </c>
      <c r="I400" s="6" t="n">
        <v>11776</v>
      </c>
      <c r="J400" s="6" t="n">
        <v>47</v>
      </c>
      <c r="K400" s="6" t="n">
        <v>92000</v>
      </c>
    </row>
    <row r="401" customFormat="false" ht="15.75" hidden="false" customHeight="true" outlineLevel="0" collapsed="false">
      <c r="A401" s="7" t="n">
        <v>46153</v>
      </c>
      <c r="B401" s="8" t="str">
        <f aca="false">TEXT(A401,"MMM YYYY")</f>
        <v>May 2026</v>
      </c>
      <c r="C401" s="9" t="s">
        <v>14</v>
      </c>
      <c r="D401" s="9" t="s">
        <v>15</v>
      </c>
      <c r="E401" s="9" t="s">
        <v>13</v>
      </c>
      <c r="F401" s="10" t="n">
        <v>920</v>
      </c>
      <c r="G401" s="10" t="n">
        <v>75</v>
      </c>
      <c r="H401" s="10" t="n">
        <v>644</v>
      </c>
      <c r="I401" s="10" t="n">
        <v>12328</v>
      </c>
      <c r="J401" s="10" t="n">
        <v>57</v>
      </c>
      <c r="K401" s="10" t="n">
        <v>69000</v>
      </c>
    </row>
    <row r="402" customFormat="false" ht="15.75" hidden="false" customHeight="true" outlineLevel="0" collapsed="false">
      <c r="A402" s="3" t="n">
        <v>46153</v>
      </c>
      <c r="B402" s="4" t="str">
        <f aca="false">TEXT(A402,"MMM YYYY")</f>
        <v>May 2026</v>
      </c>
      <c r="C402" s="5" t="s">
        <v>17</v>
      </c>
      <c r="D402" s="5" t="s">
        <v>19</v>
      </c>
      <c r="E402" s="5" t="s">
        <v>13</v>
      </c>
      <c r="F402" s="6" t="n">
        <v>736</v>
      </c>
      <c r="G402" s="6" t="n">
        <v>50</v>
      </c>
      <c r="H402" s="6" t="n">
        <v>1012</v>
      </c>
      <c r="I402" s="6" t="n">
        <v>43516</v>
      </c>
      <c r="J402" s="6" t="n">
        <v>34</v>
      </c>
      <c r="K402" s="6" t="n">
        <v>36800</v>
      </c>
    </row>
    <row r="403" customFormat="false" ht="15.75" hidden="false" customHeight="true" outlineLevel="0" collapsed="false">
      <c r="A403" s="7" t="n">
        <v>46154</v>
      </c>
      <c r="B403" s="8" t="str">
        <f aca="false">TEXT(A403,"MMM YYYY")</f>
        <v>May 2026</v>
      </c>
      <c r="C403" s="9" t="s">
        <v>11</v>
      </c>
      <c r="D403" s="9" t="s">
        <v>21</v>
      </c>
      <c r="E403" s="9" t="s">
        <v>13</v>
      </c>
      <c r="F403" s="10" t="n">
        <v>2024</v>
      </c>
      <c r="G403" s="10" t="n">
        <v>75</v>
      </c>
      <c r="H403" s="10" t="n">
        <v>2760</v>
      </c>
      <c r="I403" s="10" t="n">
        <v>113160</v>
      </c>
      <c r="J403" s="10" t="n">
        <v>44</v>
      </c>
      <c r="K403" s="10" t="n">
        <v>151800</v>
      </c>
    </row>
    <row r="404" customFormat="false" ht="15.75" hidden="false" customHeight="true" outlineLevel="0" collapsed="false">
      <c r="A404" s="3" t="n">
        <v>46154</v>
      </c>
      <c r="B404" s="4" t="str">
        <f aca="false">TEXT(A404,"MMM YYYY")</f>
        <v>May 2026</v>
      </c>
      <c r="C404" s="5" t="s">
        <v>14</v>
      </c>
      <c r="D404" s="5" t="s">
        <v>21</v>
      </c>
      <c r="E404" s="5" t="s">
        <v>16</v>
      </c>
      <c r="F404" s="6" t="n">
        <v>828</v>
      </c>
      <c r="G404" s="6" t="n">
        <v>75</v>
      </c>
      <c r="H404" s="6" t="n">
        <v>1380</v>
      </c>
      <c r="I404" s="6" t="n">
        <v>56580</v>
      </c>
      <c r="J404" s="6" t="n">
        <v>44</v>
      </c>
      <c r="K404" s="6" t="n">
        <v>62100</v>
      </c>
    </row>
    <row r="405" customFormat="false" ht="15.75" hidden="false" customHeight="true" outlineLevel="0" collapsed="false">
      <c r="A405" s="7" t="n">
        <v>46154</v>
      </c>
      <c r="B405" s="8" t="str">
        <f aca="false">TEXT(A405,"MMM YYYY")</f>
        <v>May 2026</v>
      </c>
      <c r="C405" s="9" t="s">
        <v>14</v>
      </c>
      <c r="D405" s="9" t="s">
        <v>15</v>
      </c>
      <c r="E405" s="9" t="s">
        <v>13</v>
      </c>
      <c r="F405" s="10" t="n">
        <v>460</v>
      </c>
      <c r="G405" s="10" t="n">
        <v>25</v>
      </c>
      <c r="H405" s="10" t="n">
        <v>1380</v>
      </c>
      <c r="I405" s="10" t="n">
        <v>6348</v>
      </c>
      <c r="J405" s="10" t="n">
        <v>71</v>
      </c>
      <c r="K405" s="10" t="n">
        <v>11500</v>
      </c>
    </row>
    <row r="406" customFormat="false" ht="15.75" hidden="false" customHeight="true" outlineLevel="0" collapsed="false">
      <c r="A406" s="3" t="n">
        <v>46154</v>
      </c>
      <c r="B406" s="4" t="str">
        <f aca="false">TEXT(A406,"MMM YYYY")</f>
        <v>May 2026</v>
      </c>
      <c r="C406" s="5" t="s">
        <v>17</v>
      </c>
      <c r="D406" s="5" t="s">
        <v>19</v>
      </c>
      <c r="E406" s="5" t="s">
        <v>20</v>
      </c>
      <c r="F406" s="6" t="n">
        <v>3128</v>
      </c>
      <c r="G406" s="6" t="n">
        <v>66.6666666666667</v>
      </c>
      <c r="H406" s="6" t="n">
        <v>1104</v>
      </c>
      <c r="I406" s="6" t="n">
        <v>25392</v>
      </c>
      <c r="J406" s="6" t="n">
        <v>31</v>
      </c>
      <c r="K406" s="6" t="n">
        <v>165600</v>
      </c>
    </row>
    <row r="407" customFormat="false" ht="15.75" hidden="false" customHeight="true" outlineLevel="0" collapsed="false">
      <c r="A407" s="7" t="n">
        <v>46155</v>
      </c>
      <c r="B407" s="8" t="str">
        <f aca="false">TEXT(A407,"MMM YYYY")</f>
        <v>May 2026</v>
      </c>
      <c r="C407" s="9" t="s">
        <v>11</v>
      </c>
      <c r="D407" s="9" t="s">
        <v>18</v>
      </c>
      <c r="E407" s="9" t="s">
        <v>20</v>
      </c>
      <c r="F407" s="10" t="n">
        <v>1104</v>
      </c>
      <c r="G407" s="10" t="n">
        <v>100</v>
      </c>
      <c r="H407" s="10" t="n">
        <v>552</v>
      </c>
      <c r="I407" s="10" t="n">
        <v>30268</v>
      </c>
      <c r="J407" s="10" t="n">
        <v>87</v>
      </c>
      <c r="K407" s="10" t="n">
        <v>110400</v>
      </c>
    </row>
    <row r="408" customFormat="false" ht="15.75" hidden="false" customHeight="true" outlineLevel="0" collapsed="false">
      <c r="A408" s="3" t="n">
        <v>46155</v>
      </c>
      <c r="B408" s="4" t="str">
        <f aca="false">TEXT(A408,"MMM YYYY")</f>
        <v>May 2026</v>
      </c>
      <c r="C408" s="5" t="s">
        <v>14</v>
      </c>
      <c r="D408" s="5" t="s">
        <v>18</v>
      </c>
      <c r="E408" s="5" t="s">
        <v>13</v>
      </c>
      <c r="F408" s="6" t="n">
        <v>92</v>
      </c>
      <c r="G408" s="6" t="n">
        <v>50</v>
      </c>
      <c r="H408" s="6" t="n">
        <v>552</v>
      </c>
      <c r="I408" s="6" t="n">
        <v>30268</v>
      </c>
      <c r="J408" s="6" t="n">
        <v>87</v>
      </c>
      <c r="K408" s="6" t="n">
        <v>4600</v>
      </c>
    </row>
    <row r="409" customFormat="false" ht="15.75" hidden="false" customHeight="true" outlineLevel="0" collapsed="false">
      <c r="A409" s="7" t="n">
        <v>46155</v>
      </c>
      <c r="B409" s="8" t="str">
        <f aca="false">TEXT(A409,"MMM YYYY")</f>
        <v>May 2026</v>
      </c>
      <c r="C409" s="9" t="s">
        <v>14</v>
      </c>
      <c r="D409" s="9" t="s">
        <v>18</v>
      </c>
      <c r="E409" s="9" t="s">
        <v>20</v>
      </c>
      <c r="F409" s="10" t="n">
        <v>1748</v>
      </c>
      <c r="G409" s="10" t="n">
        <v>35</v>
      </c>
      <c r="H409" s="10" t="n">
        <v>552</v>
      </c>
      <c r="I409" s="10" t="n">
        <v>30268</v>
      </c>
      <c r="J409" s="10" t="n">
        <v>87</v>
      </c>
      <c r="K409" s="10" t="n">
        <v>61180</v>
      </c>
    </row>
    <row r="410" customFormat="false" ht="15.75" hidden="false" customHeight="true" outlineLevel="0" collapsed="false">
      <c r="A410" s="3" t="n">
        <v>46155</v>
      </c>
      <c r="B410" s="4" t="str">
        <f aca="false">TEXT(A410,"MMM YYYY")</f>
        <v>May 2026</v>
      </c>
      <c r="C410" s="5" t="s">
        <v>14</v>
      </c>
      <c r="D410" s="5" t="s">
        <v>18</v>
      </c>
      <c r="E410" s="5" t="s">
        <v>16</v>
      </c>
      <c r="F410" s="6" t="n">
        <v>1012</v>
      </c>
      <c r="G410" s="6" t="n">
        <v>50</v>
      </c>
      <c r="H410" s="6" t="n">
        <v>552</v>
      </c>
      <c r="I410" s="6" t="n">
        <v>30268</v>
      </c>
      <c r="J410" s="6" t="n">
        <v>87</v>
      </c>
      <c r="K410" s="6" t="n">
        <v>50600</v>
      </c>
    </row>
    <row r="411" customFormat="false" ht="15.75" hidden="false" customHeight="true" outlineLevel="0" collapsed="false">
      <c r="A411" s="7" t="n">
        <v>46155</v>
      </c>
      <c r="B411" s="8" t="str">
        <f aca="false">TEXT(A411,"MMM YYYY")</f>
        <v>May 2026</v>
      </c>
      <c r="C411" s="9" t="s">
        <v>14</v>
      </c>
      <c r="D411" s="9" t="s">
        <v>15</v>
      </c>
      <c r="E411" s="9" t="s">
        <v>13</v>
      </c>
      <c r="F411" s="10" t="n">
        <v>1748</v>
      </c>
      <c r="G411" s="10" t="n">
        <v>75</v>
      </c>
      <c r="H411" s="10" t="n">
        <v>1196</v>
      </c>
      <c r="I411" s="10" t="n">
        <v>7820</v>
      </c>
      <c r="J411" s="10" t="n">
        <v>71</v>
      </c>
      <c r="K411" s="10" t="n">
        <v>131100</v>
      </c>
    </row>
    <row r="412" customFormat="false" ht="15.75" hidden="false" customHeight="true" outlineLevel="0" collapsed="false">
      <c r="A412" s="3" t="n">
        <v>46155</v>
      </c>
      <c r="B412" s="4" t="str">
        <f aca="false">TEXT(A412,"MMM YYYY")</f>
        <v>May 2026</v>
      </c>
      <c r="C412" s="5" t="s">
        <v>17</v>
      </c>
      <c r="D412" s="5" t="s">
        <v>15</v>
      </c>
      <c r="E412" s="5" t="s">
        <v>13</v>
      </c>
      <c r="F412" s="6" t="n">
        <v>1472</v>
      </c>
      <c r="G412" s="6" t="n">
        <v>100</v>
      </c>
      <c r="H412" s="6" t="n">
        <v>1196</v>
      </c>
      <c r="I412" s="6" t="n">
        <v>7820</v>
      </c>
      <c r="J412" s="6" t="n">
        <v>71</v>
      </c>
      <c r="K412" s="6" t="n">
        <v>147200</v>
      </c>
    </row>
    <row r="413" customFormat="false" ht="15.75" hidden="false" customHeight="true" outlineLevel="0" collapsed="false">
      <c r="A413" s="7" t="n">
        <v>46155</v>
      </c>
      <c r="B413" s="8" t="str">
        <f aca="false">TEXT(A413,"MMM YYYY")</f>
        <v>May 2026</v>
      </c>
      <c r="C413" s="9" t="s">
        <v>17</v>
      </c>
      <c r="D413" s="9" t="s">
        <v>15</v>
      </c>
      <c r="E413" s="9" t="s">
        <v>16</v>
      </c>
      <c r="F413" s="10" t="n">
        <v>736</v>
      </c>
      <c r="G413" s="10" t="n">
        <v>35</v>
      </c>
      <c r="H413" s="10" t="n">
        <v>1196</v>
      </c>
      <c r="I413" s="10" t="n">
        <v>7820</v>
      </c>
      <c r="J413" s="10" t="n">
        <v>71</v>
      </c>
      <c r="K413" s="10" t="n">
        <v>25760</v>
      </c>
    </row>
    <row r="414" customFormat="false" ht="15.75" hidden="false" customHeight="true" outlineLevel="0" collapsed="false">
      <c r="A414" s="3" t="n">
        <v>46156</v>
      </c>
      <c r="B414" s="4" t="str">
        <f aca="false">TEXT(A414,"MMM YYYY")</f>
        <v>May 2026</v>
      </c>
      <c r="C414" s="5" t="s">
        <v>11</v>
      </c>
      <c r="D414" s="5" t="s">
        <v>18</v>
      </c>
      <c r="E414" s="5" t="s">
        <v>13</v>
      </c>
      <c r="F414" s="6" t="n">
        <v>460</v>
      </c>
      <c r="G414" s="6" t="n">
        <v>25</v>
      </c>
      <c r="H414" s="6" t="n">
        <v>1104</v>
      </c>
      <c r="I414" s="6" t="n">
        <v>38916</v>
      </c>
      <c r="J414" s="6" t="n">
        <v>86</v>
      </c>
      <c r="K414" s="6" t="n">
        <v>11500</v>
      </c>
    </row>
    <row r="415" customFormat="false" ht="15.75" hidden="false" customHeight="true" outlineLevel="0" collapsed="false">
      <c r="A415" s="7" t="n">
        <v>46156</v>
      </c>
      <c r="B415" s="8" t="str">
        <f aca="false">TEXT(A415,"MMM YYYY")</f>
        <v>May 2026</v>
      </c>
      <c r="C415" s="9" t="s">
        <v>11</v>
      </c>
      <c r="D415" s="9" t="s">
        <v>12</v>
      </c>
      <c r="E415" s="9" t="s">
        <v>20</v>
      </c>
      <c r="F415" s="10" t="n">
        <v>1196</v>
      </c>
      <c r="G415" s="10" t="n">
        <v>100</v>
      </c>
      <c r="H415" s="10" t="n">
        <v>828</v>
      </c>
      <c r="I415" s="10" t="n">
        <v>23920</v>
      </c>
      <c r="J415" s="10" t="n">
        <v>40</v>
      </c>
      <c r="K415" s="10" t="n">
        <v>119600</v>
      </c>
    </row>
    <row r="416" customFormat="false" ht="15.75" hidden="false" customHeight="true" outlineLevel="0" collapsed="false">
      <c r="A416" s="3" t="n">
        <v>46156</v>
      </c>
      <c r="B416" s="4" t="str">
        <f aca="false">TEXT(A416,"MMM YYYY")</f>
        <v>May 2026</v>
      </c>
      <c r="C416" s="5" t="s">
        <v>11</v>
      </c>
      <c r="D416" s="5" t="s">
        <v>12</v>
      </c>
      <c r="E416" s="5" t="s">
        <v>16</v>
      </c>
      <c r="F416" s="6" t="n">
        <v>1564</v>
      </c>
      <c r="G416" s="6" t="n">
        <v>75</v>
      </c>
      <c r="H416" s="6" t="n">
        <v>828</v>
      </c>
      <c r="I416" s="6" t="n">
        <v>23920</v>
      </c>
      <c r="J416" s="6" t="n">
        <v>40</v>
      </c>
      <c r="K416" s="6" t="n">
        <v>117300</v>
      </c>
    </row>
    <row r="417" customFormat="false" ht="15.75" hidden="false" customHeight="true" outlineLevel="0" collapsed="false">
      <c r="A417" s="7" t="n">
        <v>46156</v>
      </c>
      <c r="B417" s="8" t="str">
        <f aca="false">TEXT(A417,"MMM YYYY")</f>
        <v>May 2026</v>
      </c>
      <c r="C417" s="9" t="s">
        <v>14</v>
      </c>
      <c r="D417" s="9" t="s">
        <v>12</v>
      </c>
      <c r="E417" s="9" t="s">
        <v>16</v>
      </c>
      <c r="F417" s="10" t="n">
        <v>184</v>
      </c>
      <c r="G417" s="10" t="n">
        <v>25</v>
      </c>
      <c r="H417" s="10" t="n">
        <v>828</v>
      </c>
      <c r="I417" s="10" t="n">
        <v>23920</v>
      </c>
      <c r="J417" s="10" t="n">
        <v>40</v>
      </c>
      <c r="K417" s="10" t="n">
        <v>4600</v>
      </c>
    </row>
    <row r="418" customFormat="false" ht="15.75" hidden="false" customHeight="true" outlineLevel="0" collapsed="false">
      <c r="A418" s="3" t="n">
        <v>46156</v>
      </c>
      <c r="B418" s="4" t="str">
        <f aca="false">TEXT(A418,"MMM YYYY")</f>
        <v>May 2026</v>
      </c>
      <c r="C418" s="5" t="s">
        <v>14</v>
      </c>
      <c r="D418" s="5" t="s">
        <v>15</v>
      </c>
      <c r="E418" s="5" t="s">
        <v>13</v>
      </c>
      <c r="F418" s="6" t="n">
        <v>1012</v>
      </c>
      <c r="G418" s="6" t="n">
        <v>35</v>
      </c>
      <c r="H418" s="6" t="n">
        <v>1380</v>
      </c>
      <c r="I418" s="6" t="n">
        <v>63848</v>
      </c>
      <c r="J418" s="6" t="n">
        <v>60</v>
      </c>
      <c r="K418" s="6" t="n">
        <v>35420</v>
      </c>
    </row>
    <row r="419" customFormat="false" ht="15.75" hidden="false" customHeight="true" outlineLevel="0" collapsed="false">
      <c r="A419" s="7" t="n">
        <v>46156</v>
      </c>
      <c r="B419" s="8" t="str">
        <f aca="false">TEXT(A419,"MMM YYYY")</f>
        <v>May 2026</v>
      </c>
      <c r="C419" s="9" t="s">
        <v>14</v>
      </c>
      <c r="D419" s="9" t="s">
        <v>15</v>
      </c>
      <c r="E419" s="9" t="s">
        <v>16</v>
      </c>
      <c r="F419" s="10" t="n">
        <v>1656</v>
      </c>
      <c r="G419" s="10" t="n">
        <v>100</v>
      </c>
      <c r="H419" s="10" t="n">
        <v>1380</v>
      </c>
      <c r="I419" s="10" t="n">
        <v>63848</v>
      </c>
      <c r="J419" s="10" t="n">
        <v>60</v>
      </c>
      <c r="K419" s="10" t="n">
        <v>165600</v>
      </c>
    </row>
    <row r="420" customFormat="false" ht="15.75" hidden="false" customHeight="true" outlineLevel="0" collapsed="false">
      <c r="A420" s="3" t="n">
        <v>46156</v>
      </c>
      <c r="B420" s="4" t="str">
        <f aca="false">TEXT(A420,"MMM YYYY")</f>
        <v>May 2026</v>
      </c>
      <c r="C420" s="5" t="s">
        <v>17</v>
      </c>
      <c r="D420" s="5" t="s">
        <v>19</v>
      </c>
      <c r="E420" s="5" t="s">
        <v>20</v>
      </c>
      <c r="F420" s="6" t="n">
        <v>552</v>
      </c>
      <c r="G420" s="6" t="n">
        <v>75</v>
      </c>
      <c r="H420" s="6" t="n">
        <v>460</v>
      </c>
      <c r="I420" s="6" t="n">
        <v>5428</v>
      </c>
      <c r="J420" s="6" t="n">
        <v>29</v>
      </c>
      <c r="K420" s="6" t="n">
        <v>41400</v>
      </c>
    </row>
    <row r="421" customFormat="false" ht="15.75" hidden="false" customHeight="true" outlineLevel="0" collapsed="false">
      <c r="A421" s="7" t="n">
        <v>46157</v>
      </c>
      <c r="B421" s="8" t="str">
        <f aca="false">TEXT(A421,"MMM YYYY")</f>
        <v>May 2026</v>
      </c>
      <c r="C421" s="9" t="s">
        <v>11</v>
      </c>
      <c r="D421" s="9" t="s">
        <v>18</v>
      </c>
      <c r="E421" s="9" t="s">
        <v>16</v>
      </c>
      <c r="F421" s="10" t="n">
        <v>184</v>
      </c>
      <c r="G421" s="10" t="n">
        <v>35</v>
      </c>
      <c r="H421" s="10" t="n">
        <v>552</v>
      </c>
      <c r="I421" s="10" t="n">
        <v>12236</v>
      </c>
      <c r="J421" s="10" t="n">
        <v>70</v>
      </c>
      <c r="K421" s="10" t="n">
        <v>6440</v>
      </c>
    </row>
    <row r="422" customFormat="false" ht="15.75" hidden="false" customHeight="true" outlineLevel="0" collapsed="false">
      <c r="A422" s="3" t="n">
        <v>46157</v>
      </c>
      <c r="B422" s="4" t="str">
        <f aca="false">TEXT(A422,"MMM YYYY")</f>
        <v>May 2026</v>
      </c>
      <c r="C422" s="5" t="s">
        <v>14</v>
      </c>
      <c r="D422" s="5" t="s">
        <v>19</v>
      </c>
      <c r="E422" s="5" t="s">
        <v>20</v>
      </c>
      <c r="F422" s="6" t="n">
        <v>1748</v>
      </c>
      <c r="G422" s="6" t="n">
        <v>25</v>
      </c>
      <c r="H422" s="6" t="n">
        <v>1472</v>
      </c>
      <c r="I422" s="6" t="n">
        <v>44712</v>
      </c>
      <c r="J422" s="6" t="n">
        <v>24</v>
      </c>
      <c r="K422" s="6" t="n">
        <v>43700</v>
      </c>
    </row>
    <row r="423" customFormat="false" ht="15.75" hidden="false" customHeight="true" outlineLevel="0" collapsed="false">
      <c r="A423" s="7" t="n">
        <v>46157</v>
      </c>
      <c r="B423" s="8" t="str">
        <f aca="false">TEXT(A423,"MMM YYYY")</f>
        <v>May 2026</v>
      </c>
      <c r="C423" s="9" t="s">
        <v>14</v>
      </c>
      <c r="D423" s="9" t="s">
        <v>21</v>
      </c>
      <c r="E423" s="9" t="s">
        <v>16</v>
      </c>
      <c r="F423" s="10" t="n">
        <v>92</v>
      </c>
      <c r="G423" s="10" t="n">
        <v>50</v>
      </c>
      <c r="H423" s="10" t="n">
        <v>828</v>
      </c>
      <c r="I423" s="10" t="n">
        <v>29348</v>
      </c>
      <c r="J423" s="10" t="n">
        <v>29</v>
      </c>
      <c r="K423" s="10" t="n">
        <v>4600</v>
      </c>
    </row>
    <row r="424" customFormat="false" ht="15.75" hidden="false" customHeight="true" outlineLevel="0" collapsed="false">
      <c r="A424" s="3" t="n">
        <v>46157</v>
      </c>
      <c r="B424" s="4" t="str">
        <f aca="false">TEXT(A424,"MMM YYYY")</f>
        <v>May 2026</v>
      </c>
      <c r="C424" s="5" t="s">
        <v>14</v>
      </c>
      <c r="D424" s="5" t="s">
        <v>12</v>
      </c>
      <c r="E424" s="5" t="s">
        <v>20</v>
      </c>
      <c r="F424" s="6" t="n">
        <v>828</v>
      </c>
      <c r="G424" s="6" t="n">
        <v>25</v>
      </c>
      <c r="H424" s="6" t="n">
        <v>920</v>
      </c>
      <c r="I424" s="6" t="n">
        <v>54556</v>
      </c>
      <c r="J424" s="6" t="n">
        <v>52</v>
      </c>
      <c r="K424" s="6" t="n">
        <v>20700</v>
      </c>
    </row>
    <row r="425" customFormat="false" ht="15.75" hidden="false" customHeight="true" outlineLevel="0" collapsed="false">
      <c r="A425" s="7" t="n">
        <v>46157</v>
      </c>
      <c r="B425" s="8" t="str">
        <f aca="false">TEXT(A425,"MMM YYYY")</f>
        <v>May 2026</v>
      </c>
      <c r="C425" s="9" t="s">
        <v>17</v>
      </c>
      <c r="D425" s="9" t="s">
        <v>21</v>
      </c>
      <c r="E425" s="9" t="s">
        <v>13</v>
      </c>
      <c r="F425" s="10" t="n">
        <v>2024</v>
      </c>
      <c r="G425" s="10" t="n">
        <v>42.5</v>
      </c>
      <c r="H425" s="10" t="n">
        <v>1656</v>
      </c>
      <c r="I425" s="10" t="n">
        <v>58696</v>
      </c>
      <c r="J425" s="10" t="n">
        <v>29</v>
      </c>
      <c r="K425" s="10" t="n">
        <v>87400</v>
      </c>
    </row>
    <row r="426" customFormat="false" ht="15.75" hidden="false" customHeight="true" outlineLevel="0" collapsed="false">
      <c r="A426" s="3" t="n">
        <v>46158</v>
      </c>
      <c r="B426" s="4" t="str">
        <f aca="false">TEXT(A426,"MMM YYYY")</f>
        <v>May 2026</v>
      </c>
      <c r="C426" s="5" t="s">
        <v>11</v>
      </c>
      <c r="D426" s="5" t="s">
        <v>19</v>
      </c>
      <c r="E426" s="5" t="s">
        <v>20</v>
      </c>
      <c r="F426" s="6" t="n">
        <v>552</v>
      </c>
      <c r="G426" s="6" t="n">
        <v>75</v>
      </c>
      <c r="H426" s="6" t="n">
        <v>1196</v>
      </c>
      <c r="I426" s="6" t="n">
        <v>3312</v>
      </c>
      <c r="J426" s="6" t="n">
        <v>22</v>
      </c>
      <c r="K426" s="6" t="n">
        <v>41400</v>
      </c>
    </row>
    <row r="427" customFormat="false" ht="15.75" hidden="false" customHeight="true" outlineLevel="0" collapsed="false">
      <c r="A427" s="7" t="n">
        <v>46158</v>
      </c>
      <c r="B427" s="8" t="str">
        <f aca="false">TEXT(A427,"MMM YYYY")</f>
        <v>May 2026</v>
      </c>
      <c r="C427" s="9" t="s">
        <v>11</v>
      </c>
      <c r="D427" s="9" t="s">
        <v>15</v>
      </c>
      <c r="E427" s="9" t="s">
        <v>13</v>
      </c>
      <c r="F427" s="10" t="n">
        <v>920</v>
      </c>
      <c r="G427" s="10" t="n">
        <v>25</v>
      </c>
      <c r="H427" s="10" t="n">
        <v>1288</v>
      </c>
      <c r="I427" s="10" t="n">
        <v>47564</v>
      </c>
      <c r="J427" s="10" t="n">
        <v>69</v>
      </c>
      <c r="K427" s="10" t="n">
        <v>23000</v>
      </c>
    </row>
    <row r="428" customFormat="false" ht="15.75" hidden="false" customHeight="true" outlineLevel="0" collapsed="false">
      <c r="A428" s="3" t="n">
        <v>46158</v>
      </c>
      <c r="B428" s="4" t="str">
        <f aca="false">TEXT(A428,"MMM YYYY")</f>
        <v>May 2026</v>
      </c>
      <c r="C428" s="5" t="s">
        <v>14</v>
      </c>
      <c r="D428" s="5" t="s">
        <v>19</v>
      </c>
      <c r="E428" s="5" t="s">
        <v>13</v>
      </c>
      <c r="F428" s="6" t="n">
        <v>552</v>
      </c>
      <c r="G428" s="6" t="n">
        <v>100</v>
      </c>
      <c r="H428" s="6" t="n">
        <v>1196</v>
      </c>
      <c r="I428" s="6" t="n">
        <v>3312</v>
      </c>
      <c r="J428" s="6" t="n">
        <v>22</v>
      </c>
      <c r="K428" s="6" t="n">
        <v>55200</v>
      </c>
    </row>
    <row r="429" customFormat="false" ht="15.75" hidden="false" customHeight="true" outlineLevel="0" collapsed="false">
      <c r="A429" s="7" t="n">
        <v>46158</v>
      </c>
      <c r="B429" s="8" t="str">
        <f aca="false">TEXT(A429,"MMM YYYY")</f>
        <v>May 2026</v>
      </c>
      <c r="C429" s="9" t="s">
        <v>14</v>
      </c>
      <c r="D429" s="9" t="s">
        <v>21</v>
      </c>
      <c r="E429" s="9" t="s">
        <v>20</v>
      </c>
      <c r="F429" s="10" t="n">
        <v>1472</v>
      </c>
      <c r="G429" s="10" t="n">
        <v>100</v>
      </c>
      <c r="H429" s="10" t="n">
        <v>368</v>
      </c>
      <c r="I429" s="10" t="n">
        <v>17020</v>
      </c>
      <c r="J429" s="10" t="n">
        <v>40</v>
      </c>
      <c r="K429" s="10" t="n">
        <v>147200</v>
      </c>
    </row>
    <row r="430" customFormat="false" ht="15.75" hidden="false" customHeight="true" outlineLevel="0" collapsed="false">
      <c r="A430" s="3" t="n">
        <v>46158</v>
      </c>
      <c r="B430" s="4" t="str">
        <f aca="false">TEXT(A430,"MMM YYYY")</f>
        <v>May 2026</v>
      </c>
      <c r="C430" s="5" t="s">
        <v>17</v>
      </c>
      <c r="D430" s="5" t="s">
        <v>19</v>
      </c>
      <c r="E430" s="5" t="s">
        <v>13</v>
      </c>
      <c r="F430" s="6" t="n">
        <v>1840</v>
      </c>
      <c r="G430" s="6" t="n">
        <v>100</v>
      </c>
      <c r="H430" s="6" t="n">
        <v>1196</v>
      </c>
      <c r="I430" s="6" t="n">
        <v>3312</v>
      </c>
      <c r="J430" s="6" t="n">
        <v>22</v>
      </c>
      <c r="K430" s="6" t="n">
        <v>184000</v>
      </c>
    </row>
    <row r="431" customFormat="false" ht="15.75" hidden="false" customHeight="true" outlineLevel="0" collapsed="false">
      <c r="A431" s="7" t="n">
        <v>46158</v>
      </c>
      <c r="B431" s="8" t="str">
        <f aca="false">TEXT(A431,"MMM YYYY")</f>
        <v>May 2026</v>
      </c>
      <c r="C431" s="9" t="s">
        <v>17</v>
      </c>
      <c r="D431" s="9" t="s">
        <v>19</v>
      </c>
      <c r="E431" s="9" t="s">
        <v>16</v>
      </c>
      <c r="F431" s="10" t="n">
        <v>644</v>
      </c>
      <c r="G431" s="10" t="n">
        <v>35</v>
      </c>
      <c r="H431" s="10" t="n">
        <v>1196</v>
      </c>
      <c r="I431" s="10" t="n">
        <v>3312</v>
      </c>
      <c r="J431" s="10" t="n">
        <v>22</v>
      </c>
      <c r="K431" s="10" t="n">
        <v>22540</v>
      </c>
    </row>
    <row r="432" customFormat="false" ht="15.75" hidden="false" customHeight="true" outlineLevel="0" collapsed="false">
      <c r="A432" s="3" t="n">
        <v>46158</v>
      </c>
      <c r="B432" s="4" t="str">
        <f aca="false">TEXT(A432,"MMM YYYY")</f>
        <v>May 2026</v>
      </c>
      <c r="C432" s="5" t="s">
        <v>17</v>
      </c>
      <c r="D432" s="5" t="s">
        <v>21</v>
      </c>
      <c r="E432" s="5" t="s">
        <v>13</v>
      </c>
      <c r="F432" s="6" t="n">
        <v>552</v>
      </c>
      <c r="G432" s="6" t="n">
        <v>75</v>
      </c>
      <c r="H432" s="6" t="n">
        <v>368</v>
      </c>
      <c r="I432" s="6" t="n">
        <v>17020</v>
      </c>
      <c r="J432" s="6" t="n">
        <v>40</v>
      </c>
      <c r="K432" s="6" t="n">
        <v>41400</v>
      </c>
    </row>
    <row r="433" customFormat="false" ht="15.75" hidden="false" customHeight="true" outlineLevel="0" collapsed="false">
      <c r="A433" s="7" t="n">
        <v>46159</v>
      </c>
      <c r="B433" s="8" t="str">
        <f aca="false">TEXT(A433,"MMM YYYY")</f>
        <v>May 2026</v>
      </c>
      <c r="C433" s="9" t="s">
        <v>11</v>
      </c>
      <c r="D433" s="9" t="s">
        <v>12</v>
      </c>
      <c r="E433" s="9" t="s">
        <v>13</v>
      </c>
      <c r="F433" s="10" t="n">
        <v>184</v>
      </c>
      <c r="G433" s="10" t="n">
        <v>50</v>
      </c>
      <c r="H433" s="10" t="n">
        <v>368</v>
      </c>
      <c r="I433" s="10" t="n">
        <v>18124</v>
      </c>
      <c r="J433" s="10" t="n">
        <v>51</v>
      </c>
      <c r="K433" s="10" t="n">
        <v>9200</v>
      </c>
    </row>
    <row r="434" customFormat="false" ht="15.75" hidden="false" customHeight="true" outlineLevel="0" collapsed="false">
      <c r="A434" s="3" t="n">
        <v>46159</v>
      </c>
      <c r="B434" s="4" t="str">
        <f aca="false">TEXT(A434,"MMM YYYY")</f>
        <v>May 2026</v>
      </c>
      <c r="C434" s="5" t="s">
        <v>14</v>
      </c>
      <c r="D434" s="5" t="s">
        <v>19</v>
      </c>
      <c r="E434" s="5" t="s">
        <v>20</v>
      </c>
      <c r="F434" s="6" t="n">
        <v>920</v>
      </c>
      <c r="G434" s="6" t="n">
        <v>25</v>
      </c>
      <c r="H434" s="6" t="n">
        <v>552</v>
      </c>
      <c r="I434" s="6" t="n">
        <v>18584</v>
      </c>
      <c r="J434" s="6" t="n">
        <v>24</v>
      </c>
      <c r="K434" s="6" t="n">
        <v>23000</v>
      </c>
    </row>
    <row r="435" customFormat="false" ht="15.75" hidden="false" customHeight="true" outlineLevel="0" collapsed="false">
      <c r="A435" s="7" t="n">
        <v>46159</v>
      </c>
      <c r="B435" s="8" t="str">
        <f aca="false">TEXT(A435,"MMM YYYY")</f>
        <v>May 2026</v>
      </c>
      <c r="C435" s="9" t="s">
        <v>14</v>
      </c>
      <c r="D435" s="9" t="s">
        <v>21</v>
      </c>
      <c r="E435" s="9" t="s">
        <v>13</v>
      </c>
      <c r="F435" s="10" t="n">
        <v>1840</v>
      </c>
      <c r="G435" s="10" t="n">
        <v>75</v>
      </c>
      <c r="H435" s="10" t="n">
        <v>368</v>
      </c>
      <c r="I435" s="10" t="n">
        <v>18400</v>
      </c>
      <c r="J435" s="10" t="n">
        <v>43</v>
      </c>
      <c r="K435" s="10" t="n">
        <v>138000</v>
      </c>
    </row>
    <row r="436" customFormat="false" ht="15.75" hidden="false" customHeight="true" outlineLevel="0" collapsed="false">
      <c r="A436" s="3" t="n">
        <v>46159</v>
      </c>
      <c r="B436" s="4" t="str">
        <f aca="false">TEXT(A436,"MMM YYYY")</f>
        <v>May 2026</v>
      </c>
      <c r="C436" s="5" t="s">
        <v>14</v>
      </c>
      <c r="D436" s="5" t="s">
        <v>12</v>
      </c>
      <c r="E436" s="5" t="s">
        <v>20</v>
      </c>
      <c r="F436" s="6" t="n">
        <v>920</v>
      </c>
      <c r="G436" s="6" t="n">
        <v>35</v>
      </c>
      <c r="H436" s="6" t="n">
        <v>368</v>
      </c>
      <c r="I436" s="6" t="n">
        <v>18124</v>
      </c>
      <c r="J436" s="6" t="n">
        <v>51</v>
      </c>
      <c r="K436" s="6" t="n">
        <v>32200</v>
      </c>
    </row>
    <row r="437" customFormat="false" ht="15.75" hidden="false" customHeight="true" outlineLevel="0" collapsed="false">
      <c r="A437" s="7" t="n">
        <v>46159</v>
      </c>
      <c r="B437" s="8" t="str">
        <f aca="false">TEXT(A437,"MMM YYYY")</f>
        <v>May 2026</v>
      </c>
      <c r="C437" s="9" t="s">
        <v>14</v>
      </c>
      <c r="D437" s="9" t="s">
        <v>15</v>
      </c>
      <c r="E437" s="9" t="s">
        <v>20</v>
      </c>
      <c r="F437" s="10" t="n">
        <v>1104</v>
      </c>
      <c r="G437" s="10" t="n">
        <v>75</v>
      </c>
      <c r="H437" s="10" t="n">
        <v>460</v>
      </c>
      <c r="I437" s="10" t="n">
        <v>3864</v>
      </c>
      <c r="J437" s="10" t="n">
        <v>58</v>
      </c>
      <c r="K437" s="10" t="n">
        <v>82800</v>
      </c>
    </row>
    <row r="438" customFormat="false" ht="15.75" hidden="false" customHeight="true" outlineLevel="0" collapsed="false">
      <c r="A438" s="3" t="n">
        <v>46159</v>
      </c>
      <c r="B438" s="4" t="str">
        <f aca="false">TEXT(A438,"MMM YYYY")</f>
        <v>May 2026</v>
      </c>
      <c r="C438" s="5" t="s">
        <v>17</v>
      </c>
      <c r="D438" s="5" t="s">
        <v>12</v>
      </c>
      <c r="E438" s="5" t="s">
        <v>16</v>
      </c>
      <c r="F438" s="6" t="n">
        <v>1472</v>
      </c>
      <c r="G438" s="6" t="n">
        <v>50</v>
      </c>
      <c r="H438" s="6" t="n">
        <v>368</v>
      </c>
      <c r="I438" s="6" t="n">
        <v>18124</v>
      </c>
      <c r="J438" s="6" t="n">
        <v>51</v>
      </c>
      <c r="K438" s="6" t="n">
        <v>73600</v>
      </c>
    </row>
    <row r="439" customFormat="false" ht="15.75" hidden="false" customHeight="true" outlineLevel="0" collapsed="false">
      <c r="A439" s="7" t="n">
        <v>46160</v>
      </c>
      <c r="B439" s="8" t="str">
        <f aca="false">TEXT(A439,"MMM YYYY")</f>
        <v>May 2026</v>
      </c>
      <c r="C439" s="9" t="s">
        <v>11</v>
      </c>
      <c r="D439" s="9" t="s">
        <v>18</v>
      </c>
      <c r="E439" s="9" t="s">
        <v>16</v>
      </c>
      <c r="F439" s="10" t="n">
        <v>184</v>
      </c>
      <c r="G439" s="10" t="n">
        <v>75</v>
      </c>
      <c r="H439" s="10" t="n">
        <v>1104</v>
      </c>
      <c r="I439" s="10" t="n">
        <v>22448</v>
      </c>
      <c r="J439" s="10" t="n">
        <v>76</v>
      </c>
      <c r="K439" s="10" t="n">
        <v>13800</v>
      </c>
    </row>
    <row r="440" customFormat="false" ht="15.75" hidden="false" customHeight="true" outlineLevel="0" collapsed="false">
      <c r="A440" s="3" t="n">
        <v>46160</v>
      </c>
      <c r="B440" s="4" t="str">
        <f aca="false">TEXT(A440,"MMM YYYY")</f>
        <v>May 2026</v>
      </c>
      <c r="C440" s="5" t="s">
        <v>11</v>
      </c>
      <c r="D440" s="5" t="s">
        <v>21</v>
      </c>
      <c r="E440" s="5" t="s">
        <v>16</v>
      </c>
      <c r="F440" s="6" t="n">
        <v>1380</v>
      </c>
      <c r="G440" s="6" t="n">
        <v>50</v>
      </c>
      <c r="H440" s="6" t="n">
        <v>736</v>
      </c>
      <c r="I440" s="6" t="n">
        <v>17940</v>
      </c>
      <c r="J440" s="6" t="n">
        <v>36</v>
      </c>
      <c r="K440" s="6" t="n">
        <v>69000</v>
      </c>
    </row>
    <row r="441" customFormat="false" ht="15.75" hidden="false" customHeight="true" outlineLevel="0" collapsed="false">
      <c r="A441" s="7" t="n">
        <v>46160</v>
      </c>
      <c r="B441" s="8" t="str">
        <f aca="false">TEXT(A441,"MMM YYYY")</f>
        <v>May 2026</v>
      </c>
      <c r="C441" s="9" t="s">
        <v>14</v>
      </c>
      <c r="D441" s="9" t="s">
        <v>19</v>
      </c>
      <c r="E441" s="9" t="s">
        <v>16</v>
      </c>
      <c r="F441" s="10" t="n">
        <v>1288</v>
      </c>
      <c r="G441" s="10" t="n">
        <v>25</v>
      </c>
      <c r="H441" s="10" t="n">
        <v>552</v>
      </c>
      <c r="I441" s="10" t="n">
        <v>5612</v>
      </c>
      <c r="J441" s="10" t="n">
        <v>23</v>
      </c>
      <c r="K441" s="10" t="n">
        <v>32200</v>
      </c>
    </row>
    <row r="442" customFormat="false" ht="15.75" hidden="false" customHeight="true" outlineLevel="0" collapsed="false">
      <c r="A442" s="3" t="n">
        <v>46160</v>
      </c>
      <c r="B442" s="4" t="str">
        <f aca="false">TEXT(A442,"MMM YYYY")</f>
        <v>May 2026</v>
      </c>
      <c r="C442" s="5" t="s">
        <v>14</v>
      </c>
      <c r="D442" s="5" t="s">
        <v>21</v>
      </c>
      <c r="E442" s="5" t="s">
        <v>13</v>
      </c>
      <c r="F442" s="6" t="n">
        <v>1380</v>
      </c>
      <c r="G442" s="6" t="n">
        <v>35</v>
      </c>
      <c r="H442" s="6" t="n">
        <v>736</v>
      </c>
      <c r="I442" s="6" t="n">
        <v>17940</v>
      </c>
      <c r="J442" s="6" t="n">
        <v>36</v>
      </c>
      <c r="K442" s="6" t="n">
        <v>48300</v>
      </c>
    </row>
    <row r="443" customFormat="false" ht="15.75" hidden="false" customHeight="true" outlineLevel="0" collapsed="false">
      <c r="A443" s="7" t="n">
        <v>46160</v>
      </c>
      <c r="B443" s="8" t="str">
        <f aca="false">TEXT(A443,"MMM YYYY")</f>
        <v>May 2026</v>
      </c>
      <c r="C443" s="9" t="s">
        <v>14</v>
      </c>
      <c r="D443" s="9" t="s">
        <v>15</v>
      </c>
      <c r="E443" s="9" t="s">
        <v>20</v>
      </c>
      <c r="F443" s="10" t="n">
        <v>736</v>
      </c>
      <c r="G443" s="10" t="n">
        <v>75</v>
      </c>
      <c r="H443" s="10" t="n">
        <v>1472</v>
      </c>
      <c r="I443" s="10" t="n">
        <v>42964</v>
      </c>
      <c r="J443" s="10" t="n">
        <v>72</v>
      </c>
      <c r="K443" s="10" t="n">
        <v>55200</v>
      </c>
    </row>
    <row r="444" customFormat="false" ht="15.75" hidden="false" customHeight="true" outlineLevel="0" collapsed="false">
      <c r="A444" s="3" t="n">
        <v>46160</v>
      </c>
      <c r="B444" s="4" t="str">
        <f aca="false">TEXT(A444,"MMM YYYY")</f>
        <v>May 2026</v>
      </c>
      <c r="C444" s="5" t="s">
        <v>17</v>
      </c>
      <c r="D444" s="5" t="s">
        <v>18</v>
      </c>
      <c r="E444" s="5" t="s">
        <v>16</v>
      </c>
      <c r="F444" s="6" t="n">
        <v>1748</v>
      </c>
      <c r="G444" s="6" t="n">
        <v>100</v>
      </c>
      <c r="H444" s="6" t="n">
        <v>1104</v>
      </c>
      <c r="I444" s="6" t="n">
        <v>22448</v>
      </c>
      <c r="J444" s="6" t="n">
        <v>76</v>
      </c>
      <c r="K444" s="6" t="n">
        <v>174800</v>
      </c>
    </row>
    <row r="445" customFormat="false" ht="15.75" hidden="false" customHeight="true" outlineLevel="0" collapsed="false">
      <c r="A445" s="7" t="n">
        <v>46160</v>
      </c>
      <c r="B445" s="8" t="str">
        <f aca="false">TEXT(A445,"MMM YYYY")</f>
        <v>May 2026</v>
      </c>
      <c r="C445" s="9" t="s">
        <v>17</v>
      </c>
      <c r="D445" s="9" t="s">
        <v>15</v>
      </c>
      <c r="E445" s="9" t="s">
        <v>20</v>
      </c>
      <c r="F445" s="10" t="n">
        <v>368</v>
      </c>
      <c r="G445" s="10" t="n">
        <v>25</v>
      </c>
      <c r="H445" s="10" t="n">
        <v>1472</v>
      </c>
      <c r="I445" s="10" t="n">
        <v>42964</v>
      </c>
      <c r="J445" s="10" t="n">
        <v>72</v>
      </c>
      <c r="K445" s="10" t="n">
        <v>9200</v>
      </c>
    </row>
    <row r="446" customFormat="false" ht="15.75" hidden="false" customHeight="true" outlineLevel="0" collapsed="false">
      <c r="A446" s="3" t="n">
        <v>46161</v>
      </c>
      <c r="B446" s="4" t="str">
        <f aca="false">TEXT(A446,"MMM YYYY")</f>
        <v>May 2026</v>
      </c>
      <c r="C446" s="5" t="s">
        <v>11</v>
      </c>
      <c r="D446" s="5" t="s">
        <v>18</v>
      </c>
      <c r="E446" s="5" t="s">
        <v>13</v>
      </c>
      <c r="F446" s="6" t="n">
        <v>1012</v>
      </c>
      <c r="G446" s="6" t="n">
        <v>50</v>
      </c>
      <c r="H446" s="6" t="n">
        <v>1288</v>
      </c>
      <c r="I446" s="6" t="n">
        <v>49588</v>
      </c>
      <c r="J446" s="6" t="n">
        <v>85</v>
      </c>
      <c r="K446" s="6" t="n">
        <v>50600</v>
      </c>
    </row>
    <row r="447" customFormat="false" ht="15.75" hidden="false" customHeight="true" outlineLevel="0" collapsed="false">
      <c r="A447" s="7" t="n">
        <v>46161</v>
      </c>
      <c r="B447" s="8" t="str">
        <f aca="false">TEXT(A447,"MMM YYYY")</f>
        <v>May 2026</v>
      </c>
      <c r="C447" s="9" t="s">
        <v>11</v>
      </c>
      <c r="D447" s="9" t="s">
        <v>12</v>
      </c>
      <c r="E447" s="9" t="s">
        <v>16</v>
      </c>
      <c r="F447" s="10" t="n">
        <v>1012</v>
      </c>
      <c r="G447" s="10" t="n">
        <v>25</v>
      </c>
      <c r="H447" s="10" t="n">
        <v>1196</v>
      </c>
      <c r="I447" s="10" t="n">
        <v>71484</v>
      </c>
      <c r="J447" s="10" t="n">
        <v>60</v>
      </c>
      <c r="K447" s="10" t="n">
        <v>25300</v>
      </c>
    </row>
    <row r="448" customFormat="false" ht="15.75" hidden="false" customHeight="true" outlineLevel="0" collapsed="false">
      <c r="A448" s="3" t="n">
        <v>46161</v>
      </c>
      <c r="B448" s="4" t="str">
        <f aca="false">TEXT(A448,"MMM YYYY")</f>
        <v>May 2026</v>
      </c>
      <c r="C448" s="5" t="s">
        <v>17</v>
      </c>
      <c r="D448" s="5" t="s">
        <v>18</v>
      </c>
      <c r="E448" s="5" t="s">
        <v>20</v>
      </c>
      <c r="F448" s="6" t="n">
        <v>1196</v>
      </c>
      <c r="G448" s="6" t="n">
        <v>75</v>
      </c>
      <c r="H448" s="6" t="n">
        <v>1288</v>
      </c>
      <c r="I448" s="6" t="n">
        <v>49588</v>
      </c>
      <c r="J448" s="6" t="n">
        <v>85</v>
      </c>
      <c r="K448" s="6" t="n">
        <v>89700</v>
      </c>
    </row>
    <row r="449" customFormat="false" ht="15.75" hidden="false" customHeight="true" outlineLevel="0" collapsed="false">
      <c r="A449" s="7" t="n">
        <v>46161</v>
      </c>
      <c r="B449" s="8" t="str">
        <f aca="false">TEXT(A449,"MMM YYYY")</f>
        <v>May 2026</v>
      </c>
      <c r="C449" s="9" t="s">
        <v>17</v>
      </c>
      <c r="D449" s="9" t="s">
        <v>21</v>
      </c>
      <c r="E449" s="9" t="s">
        <v>16</v>
      </c>
      <c r="F449" s="10" t="n">
        <v>2116</v>
      </c>
      <c r="G449" s="10" t="n">
        <v>55</v>
      </c>
      <c r="H449" s="10" t="n">
        <v>2024</v>
      </c>
      <c r="I449" s="10" t="n">
        <v>59616</v>
      </c>
      <c r="J449" s="10" t="n">
        <v>38</v>
      </c>
      <c r="K449" s="10" t="n">
        <v>107180</v>
      </c>
    </row>
    <row r="450" customFormat="false" ht="15.75" hidden="false" customHeight="true" outlineLevel="0" collapsed="false">
      <c r="A450" s="3" t="n">
        <v>46161</v>
      </c>
      <c r="B450" s="4" t="str">
        <f aca="false">TEXT(A450,"MMM YYYY")</f>
        <v>May 2026</v>
      </c>
      <c r="C450" s="5" t="s">
        <v>17</v>
      </c>
      <c r="D450" s="5" t="s">
        <v>15</v>
      </c>
      <c r="E450" s="5" t="s">
        <v>20</v>
      </c>
      <c r="F450" s="6" t="n">
        <v>1748</v>
      </c>
      <c r="G450" s="6" t="n">
        <v>25</v>
      </c>
      <c r="H450" s="6" t="n">
        <v>736</v>
      </c>
      <c r="I450" s="6" t="n">
        <v>27508</v>
      </c>
      <c r="J450" s="6" t="n">
        <v>73</v>
      </c>
      <c r="K450" s="6" t="n">
        <v>43700</v>
      </c>
    </row>
    <row r="451" customFormat="false" ht="15.75" hidden="false" customHeight="true" outlineLevel="0" collapsed="false">
      <c r="A451" s="7" t="n">
        <v>46162</v>
      </c>
      <c r="B451" s="8" t="str">
        <f aca="false">TEXT(A451,"MMM YYYY")</f>
        <v>May 2026</v>
      </c>
      <c r="C451" s="9" t="s">
        <v>11</v>
      </c>
      <c r="D451" s="9" t="s">
        <v>21</v>
      </c>
      <c r="E451" s="9" t="s">
        <v>16</v>
      </c>
      <c r="F451" s="10" t="n">
        <v>368</v>
      </c>
      <c r="G451" s="10" t="n">
        <v>35</v>
      </c>
      <c r="H451" s="10" t="n">
        <v>368</v>
      </c>
      <c r="I451" s="10" t="n">
        <v>13708</v>
      </c>
      <c r="J451" s="10" t="n">
        <v>45</v>
      </c>
      <c r="K451" s="10" t="n">
        <v>12880</v>
      </c>
    </row>
    <row r="452" customFormat="false" ht="15.75" hidden="false" customHeight="true" outlineLevel="0" collapsed="false">
      <c r="A452" s="3" t="n">
        <v>46162</v>
      </c>
      <c r="B452" s="4" t="str">
        <f aca="false">TEXT(A452,"MMM YYYY")</f>
        <v>May 2026</v>
      </c>
      <c r="C452" s="5" t="s">
        <v>11</v>
      </c>
      <c r="D452" s="5" t="s">
        <v>15</v>
      </c>
      <c r="E452" s="5" t="s">
        <v>20</v>
      </c>
      <c r="F452" s="6" t="n">
        <v>92</v>
      </c>
      <c r="G452" s="6" t="n">
        <v>50</v>
      </c>
      <c r="H452" s="6" t="n">
        <v>644</v>
      </c>
      <c r="I452" s="6" t="n">
        <v>31740</v>
      </c>
      <c r="J452" s="6" t="n">
        <v>68</v>
      </c>
      <c r="K452" s="6" t="n">
        <v>4600</v>
      </c>
    </row>
    <row r="453" customFormat="false" ht="15.75" hidden="false" customHeight="true" outlineLevel="0" collapsed="false">
      <c r="A453" s="7" t="n">
        <v>46162</v>
      </c>
      <c r="B453" s="8" t="str">
        <f aca="false">TEXT(A453,"MMM YYYY")</f>
        <v>May 2026</v>
      </c>
      <c r="C453" s="9" t="s">
        <v>14</v>
      </c>
      <c r="D453" s="9" t="s">
        <v>12</v>
      </c>
      <c r="E453" s="9" t="s">
        <v>13</v>
      </c>
      <c r="F453" s="10" t="n">
        <v>1564</v>
      </c>
      <c r="G453" s="10" t="n">
        <v>100</v>
      </c>
      <c r="H453" s="10" t="n">
        <v>644</v>
      </c>
      <c r="I453" s="10" t="n">
        <v>36064</v>
      </c>
      <c r="J453" s="10" t="n">
        <v>49</v>
      </c>
      <c r="K453" s="10" t="n">
        <v>156400</v>
      </c>
    </row>
    <row r="454" customFormat="false" ht="15.75" hidden="false" customHeight="true" outlineLevel="0" collapsed="false">
      <c r="A454" s="3" t="n">
        <v>46162</v>
      </c>
      <c r="B454" s="4" t="str">
        <f aca="false">TEXT(A454,"MMM YYYY")</f>
        <v>May 2026</v>
      </c>
      <c r="C454" s="5" t="s">
        <v>17</v>
      </c>
      <c r="D454" s="5" t="s">
        <v>18</v>
      </c>
      <c r="E454" s="5" t="s">
        <v>13</v>
      </c>
      <c r="F454" s="6" t="n">
        <v>828</v>
      </c>
      <c r="G454" s="6" t="n">
        <v>75</v>
      </c>
      <c r="H454" s="6" t="n">
        <v>644</v>
      </c>
      <c r="I454" s="6" t="n">
        <v>35236</v>
      </c>
      <c r="J454" s="6" t="n">
        <v>79</v>
      </c>
      <c r="K454" s="6" t="n">
        <v>62100</v>
      </c>
    </row>
    <row r="455" customFormat="false" ht="15.75" hidden="false" customHeight="true" outlineLevel="0" collapsed="false">
      <c r="A455" s="7" t="n">
        <v>46162</v>
      </c>
      <c r="B455" s="8" t="str">
        <f aca="false">TEXT(A455,"MMM YYYY")</f>
        <v>May 2026</v>
      </c>
      <c r="C455" s="9" t="s">
        <v>17</v>
      </c>
      <c r="D455" s="9" t="s">
        <v>19</v>
      </c>
      <c r="E455" s="9" t="s">
        <v>20</v>
      </c>
      <c r="F455" s="10" t="n">
        <v>644</v>
      </c>
      <c r="G455" s="10" t="n">
        <v>75</v>
      </c>
      <c r="H455" s="10" t="n">
        <v>828</v>
      </c>
      <c r="I455" s="10" t="n">
        <v>29072</v>
      </c>
      <c r="J455" s="10" t="n">
        <v>35</v>
      </c>
      <c r="K455" s="10" t="n">
        <v>48300</v>
      </c>
    </row>
    <row r="456" customFormat="false" ht="15.75" hidden="false" customHeight="true" outlineLevel="0" collapsed="false">
      <c r="A456" s="3" t="n">
        <v>46162</v>
      </c>
      <c r="B456" s="4" t="str">
        <f aca="false">TEXT(A456,"MMM YYYY")</f>
        <v>May 2026</v>
      </c>
      <c r="C456" s="5" t="s">
        <v>17</v>
      </c>
      <c r="D456" s="5" t="s">
        <v>12</v>
      </c>
      <c r="E456" s="5" t="s">
        <v>20</v>
      </c>
      <c r="F456" s="6" t="n">
        <v>1012</v>
      </c>
      <c r="G456" s="6" t="n">
        <v>35</v>
      </c>
      <c r="H456" s="6" t="n">
        <v>644</v>
      </c>
      <c r="I456" s="6" t="n">
        <v>36064</v>
      </c>
      <c r="J456" s="6" t="n">
        <v>49</v>
      </c>
      <c r="K456" s="6" t="n">
        <v>35420</v>
      </c>
    </row>
    <row r="457" customFormat="false" ht="15.75" hidden="false" customHeight="true" outlineLevel="0" collapsed="false">
      <c r="A457" s="7" t="n">
        <v>46162</v>
      </c>
      <c r="B457" s="8" t="str">
        <f aca="false">TEXT(A457,"MMM YYYY")</f>
        <v>May 2026</v>
      </c>
      <c r="C457" s="9" t="s">
        <v>17</v>
      </c>
      <c r="D457" s="9" t="s">
        <v>15</v>
      </c>
      <c r="E457" s="9" t="s">
        <v>16</v>
      </c>
      <c r="F457" s="10" t="n">
        <v>552</v>
      </c>
      <c r="G457" s="10" t="n">
        <v>25</v>
      </c>
      <c r="H457" s="10" t="n">
        <v>644</v>
      </c>
      <c r="I457" s="10" t="n">
        <v>31740</v>
      </c>
      <c r="J457" s="10" t="n">
        <v>68</v>
      </c>
      <c r="K457" s="10" t="n">
        <v>13800</v>
      </c>
    </row>
    <row r="458" customFormat="false" ht="15.75" hidden="false" customHeight="true" outlineLevel="0" collapsed="false">
      <c r="A458" s="3" t="n">
        <v>46163</v>
      </c>
      <c r="B458" s="4" t="str">
        <f aca="false">TEXT(A458,"MMM YYYY")</f>
        <v>May 2026</v>
      </c>
      <c r="C458" s="5" t="s">
        <v>11</v>
      </c>
      <c r="D458" s="5" t="s">
        <v>18</v>
      </c>
      <c r="E458" s="5" t="s">
        <v>20</v>
      </c>
      <c r="F458" s="6" t="n">
        <v>1472</v>
      </c>
      <c r="G458" s="6" t="n">
        <v>100</v>
      </c>
      <c r="H458" s="6" t="n">
        <v>1288</v>
      </c>
      <c r="I458" s="6" t="n">
        <v>15548</v>
      </c>
      <c r="J458" s="6" t="n">
        <v>85</v>
      </c>
      <c r="K458" s="6" t="n">
        <v>147200</v>
      </c>
    </row>
    <row r="459" customFormat="false" ht="15.75" hidden="false" customHeight="true" outlineLevel="0" collapsed="false">
      <c r="A459" s="7" t="n">
        <v>46163</v>
      </c>
      <c r="B459" s="8" t="str">
        <f aca="false">TEXT(A459,"MMM YYYY")</f>
        <v>May 2026</v>
      </c>
      <c r="C459" s="9" t="s">
        <v>11</v>
      </c>
      <c r="D459" s="9" t="s">
        <v>18</v>
      </c>
      <c r="E459" s="9" t="s">
        <v>16</v>
      </c>
      <c r="F459" s="10" t="n">
        <v>1104</v>
      </c>
      <c r="G459" s="10" t="n">
        <v>75</v>
      </c>
      <c r="H459" s="10" t="n">
        <v>1288</v>
      </c>
      <c r="I459" s="10" t="n">
        <v>15548</v>
      </c>
      <c r="J459" s="10" t="n">
        <v>85</v>
      </c>
      <c r="K459" s="10" t="n">
        <v>82800</v>
      </c>
    </row>
    <row r="460" customFormat="false" ht="15.75" hidden="false" customHeight="true" outlineLevel="0" collapsed="false">
      <c r="A460" s="3" t="n">
        <v>46163</v>
      </c>
      <c r="B460" s="4" t="str">
        <f aca="false">TEXT(A460,"MMM YYYY")</f>
        <v>May 2026</v>
      </c>
      <c r="C460" s="5" t="s">
        <v>11</v>
      </c>
      <c r="D460" s="5" t="s">
        <v>12</v>
      </c>
      <c r="E460" s="5" t="s">
        <v>13</v>
      </c>
      <c r="F460" s="6" t="n">
        <v>276</v>
      </c>
      <c r="G460" s="6" t="n">
        <v>50</v>
      </c>
      <c r="H460" s="6" t="n">
        <v>736</v>
      </c>
      <c r="I460" s="6" t="n">
        <v>16836</v>
      </c>
      <c r="J460" s="6" t="n">
        <v>56</v>
      </c>
      <c r="K460" s="6" t="n">
        <v>13800</v>
      </c>
    </row>
    <row r="461" customFormat="false" ht="15.75" hidden="false" customHeight="true" outlineLevel="0" collapsed="false">
      <c r="A461" s="7" t="n">
        <v>46163</v>
      </c>
      <c r="B461" s="8" t="str">
        <f aca="false">TEXT(A461,"MMM YYYY")</f>
        <v>May 2026</v>
      </c>
      <c r="C461" s="9" t="s">
        <v>11</v>
      </c>
      <c r="D461" s="9" t="s">
        <v>12</v>
      </c>
      <c r="E461" s="9" t="s">
        <v>16</v>
      </c>
      <c r="F461" s="10" t="n">
        <v>184</v>
      </c>
      <c r="G461" s="10" t="n">
        <v>75</v>
      </c>
      <c r="H461" s="10" t="n">
        <v>736</v>
      </c>
      <c r="I461" s="10" t="n">
        <v>16836</v>
      </c>
      <c r="J461" s="10" t="n">
        <v>56</v>
      </c>
      <c r="K461" s="10" t="n">
        <v>13800</v>
      </c>
    </row>
    <row r="462" customFormat="false" ht="15.75" hidden="false" customHeight="true" outlineLevel="0" collapsed="false">
      <c r="A462" s="3" t="n">
        <v>46163</v>
      </c>
      <c r="B462" s="4" t="str">
        <f aca="false">TEXT(A462,"MMM YYYY")</f>
        <v>May 2026</v>
      </c>
      <c r="C462" s="5" t="s">
        <v>11</v>
      </c>
      <c r="D462" s="5" t="s">
        <v>15</v>
      </c>
      <c r="E462" s="5" t="s">
        <v>16</v>
      </c>
      <c r="F462" s="6" t="n">
        <v>92</v>
      </c>
      <c r="G462" s="6" t="n">
        <v>35</v>
      </c>
      <c r="H462" s="6" t="n">
        <v>1196</v>
      </c>
      <c r="I462" s="6" t="n">
        <v>60720</v>
      </c>
      <c r="J462" s="6" t="n">
        <v>55</v>
      </c>
      <c r="K462" s="6" t="n">
        <v>3220</v>
      </c>
    </row>
    <row r="463" customFormat="false" ht="15.75" hidden="false" customHeight="true" outlineLevel="0" collapsed="false">
      <c r="A463" s="7" t="n">
        <v>46164</v>
      </c>
      <c r="B463" s="8" t="str">
        <f aca="false">TEXT(A463,"MMM YYYY")</f>
        <v>May 2026</v>
      </c>
      <c r="C463" s="9" t="s">
        <v>11</v>
      </c>
      <c r="D463" s="9" t="s">
        <v>19</v>
      </c>
      <c r="E463" s="9" t="s">
        <v>13</v>
      </c>
      <c r="F463" s="10" t="n">
        <v>1196</v>
      </c>
      <c r="G463" s="10" t="n">
        <v>50</v>
      </c>
      <c r="H463" s="10" t="n">
        <v>1288</v>
      </c>
      <c r="I463" s="10" t="n">
        <v>33948</v>
      </c>
      <c r="J463" s="10" t="n">
        <v>26</v>
      </c>
      <c r="K463" s="10" t="n">
        <v>59800</v>
      </c>
    </row>
    <row r="464" customFormat="false" ht="15.75" hidden="false" customHeight="true" outlineLevel="0" collapsed="false">
      <c r="A464" s="3" t="n">
        <v>46164</v>
      </c>
      <c r="B464" s="4" t="str">
        <f aca="false">TEXT(A464,"MMM YYYY")</f>
        <v>May 2026</v>
      </c>
      <c r="C464" s="5" t="s">
        <v>11</v>
      </c>
      <c r="D464" s="5" t="s">
        <v>21</v>
      </c>
      <c r="E464" s="5" t="s">
        <v>16</v>
      </c>
      <c r="F464" s="6" t="n">
        <v>736</v>
      </c>
      <c r="G464" s="6" t="n">
        <v>35</v>
      </c>
      <c r="H464" s="6" t="n">
        <v>368</v>
      </c>
      <c r="I464" s="6" t="n">
        <v>14996</v>
      </c>
      <c r="J464" s="6" t="n">
        <v>34</v>
      </c>
      <c r="K464" s="6" t="n">
        <v>25760</v>
      </c>
    </row>
    <row r="465" customFormat="false" ht="15.75" hidden="false" customHeight="true" outlineLevel="0" collapsed="false">
      <c r="A465" s="7" t="n">
        <v>46164</v>
      </c>
      <c r="B465" s="8" t="str">
        <f aca="false">TEXT(A465,"MMM YYYY")</f>
        <v>May 2026</v>
      </c>
      <c r="C465" s="9" t="s">
        <v>14</v>
      </c>
      <c r="D465" s="9" t="s">
        <v>19</v>
      </c>
      <c r="E465" s="9" t="s">
        <v>16</v>
      </c>
      <c r="F465" s="10" t="n">
        <v>92</v>
      </c>
      <c r="G465" s="10" t="n">
        <v>25</v>
      </c>
      <c r="H465" s="10" t="n">
        <v>1288</v>
      </c>
      <c r="I465" s="10" t="n">
        <v>33948</v>
      </c>
      <c r="J465" s="10" t="n">
        <v>26</v>
      </c>
      <c r="K465" s="10" t="n">
        <v>2300</v>
      </c>
    </row>
    <row r="466" customFormat="false" ht="15.75" hidden="false" customHeight="true" outlineLevel="0" collapsed="false">
      <c r="A466" s="3" t="n">
        <v>46164</v>
      </c>
      <c r="B466" s="4" t="str">
        <f aca="false">TEXT(A466,"MMM YYYY")</f>
        <v>May 2026</v>
      </c>
      <c r="C466" s="5" t="s">
        <v>17</v>
      </c>
      <c r="D466" s="5" t="s">
        <v>19</v>
      </c>
      <c r="E466" s="5" t="s">
        <v>13</v>
      </c>
      <c r="F466" s="6" t="n">
        <v>1564</v>
      </c>
      <c r="G466" s="6" t="n">
        <v>100</v>
      </c>
      <c r="H466" s="6" t="n">
        <v>1288</v>
      </c>
      <c r="I466" s="6" t="n">
        <v>33948</v>
      </c>
      <c r="J466" s="6" t="n">
        <v>26</v>
      </c>
      <c r="K466" s="6" t="n">
        <v>156400</v>
      </c>
    </row>
    <row r="467" customFormat="false" ht="15.75" hidden="false" customHeight="true" outlineLevel="0" collapsed="false">
      <c r="A467" s="7" t="n">
        <v>46164</v>
      </c>
      <c r="B467" s="8" t="str">
        <f aca="false">TEXT(A467,"MMM YYYY")</f>
        <v>May 2026</v>
      </c>
      <c r="C467" s="9" t="s">
        <v>17</v>
      </c>
      <c r="D467" s="9" t="s">
        <v>15</v>
      </c>
      <c r="E467" s="9" t="s">
        <v>20</v>
      </c>
      <c r="F467" s="10" t="n">
        <v>92</v>
      </c>
      <c r="G467" s="10" t="n">
        <v>35</v>
      </c>
      <c r="H467" s="10" t="n">
        <v>828</v>
      </c>
      <c r="I467" s="10" t="n">
        <v>28888</v>
      </c>
      <c r="J467" s="10" t="n">
        <v>72</v>
      </c>
      <c r="K467" s="10" t="n">
        <v>3220</v>
      </c>
    </row>
    <row r="468" customFormat="false" ht="15.75" hidden="false" customHeight="true" outlineLevel="0" collapsed="false">
      <c r="A468" s="3" t="n">
        <v>46165</v>
      </c>
      <c r="B468" s="4" t="str">
        <f aca="false">TEXT(A468,"MMM YYYY")</f>
        <v>May 2026</v>
      </c>
      <c r="C468" s="5" t="s">
        <v>11</v>
      </c>
      <c r="D468" s="5" t="s">
        <v>18</v>
      </c>
      <c r="E468" s="5" t="s">
        <v>20</v>
      </c>
      <c r="F468" s="6" t="n">
        <v>1656</v>
      </c>
      <c r="G468" s="6" t="n">
        <v>100</v>
      </c>
      <c r="H468" s="6" t="n">
        <v>736</v>
      </c>
      <c r="I468" s="6" t="n">
        <v>10948</v>
      </c>
      <c r="J468" s="6" t="n">
        <v>73</v>
      </c>
      <c r="K468" s="6" t="n">
        <v>165600</v>
      </c>
    </row>
    <row r="469" customFormat="false" ht="15.75" hidden="false" customHeight="true" outlineLevel="0" collapsed="false">
      <c r="A469" s="7" t="n">
        <v>46165</v>
      </c>
      <c r="B469" s="8" t="str">
        <f aca="false">TEXT(A469,"MMM YYYY")</f>
        <v>May 2026</v>
      </c>
      <c r="C469" s="9" t="s">
        <v>11</v>
      </c>
      <c r="D469" s="9" t="s">
        <v>19</v>
      </c>
      <c r="E469" s="9" t="s">
        <v>16</v>
      </c>
      <c r="F469" s="10" t="n">
        <v>828</v>
      </c>
      <c r="G469" s="10" t="n">
        <v>75</v>
      </c>
      <c r="H469" s="10" t="n">
        <v>644</v>
      </c>
      <c r="I469" s="10" t="n">
        <v>20240</v>
      </c>
      <c r="J469" s="10" t="n">
        <v>29</v>
      </c>
      <c r="K469" s="10" t="n">
        <v>62100</v>
      </c>
    </row>
    <row r="470" customFormat="false" ht="15.75" hidden="false" customHeight="true" outlineLevel="0" collapsed="false">
      <c r="A470" s="3" t="n">
        <v>46165</v>
      </c>
      <c r="B470" s="4" t="str">
        <f aca="false">TEXT(A470,"MMM YYYY")</f>
        <v>May 2026</v>
      </c>
      <c r="C470" s="5" t="s">
        <v>17</v>
      </c>
      <c r="D470" s="5" t="s">
        <v>21</v>
      </c>
      <c r="E470" s="5" t="s">
        <v>13</v>
      </c>
      <c r="F470" s="6" t="n">
        <v>2116</v>
      </c>
      <c r="G470" s="6" t="n">
        <v>42.5</v>
      </c>
      <c r="H470" s="6" t="n">
        <v>1104</v>
      </c>
      <c r="I470" s="6" t="n">
        <v>16376</v>
      </c>
      <c r="J470" s="6" t="n">
        <v>34</v>
      </c>
      <c r="K470" s="6" t="n">
        <v>92000</v>
      </c>
    </row>
    <row r="471" customFormat="false" ht="15.75" hidden="false" customHeight="true" outlineLevel="0" collapsed="false">
      <c r="A471" s="7" t="n">
        <v>46165</v>
      </c>
      <c r="B471" s="8" t="str">
        <f aca="false">TEXT(A471,"MMM YYYY")</f>
        <v>May 2026</v>
      </c>
      <c r="C471" s="9" t="s">
        <v>17</v>
      </c>
      <c r="D471" s="9" t="s">
        <v>15</v>
      </c>
      <c r="E471" s="9" t="s">
        <v>20</v>
      </c>
      <c r="F471" s="10" t="n">
        <v>276</v>
      </c>
      <c r="G471" s="10" t="n">
        <v>50</v>
      </c>
      <c r="H471" s="10" t="n">
        <v>1380</v>
      </c>
      <c r="I471" s="10" t="n">
        <v>5704</v>
      </c>
      <c r="J471" s="10" t="n">
        <v>63</v>
      </c>
      <c r="K471" s="10" t="n">
        <v>13800</v>
      </c>
    </row>
    <row r="472" customFormat="false" ht="15.75" hidden="false" customHeight="true" outlineLevel="0" collapsed="false">
      <c r="A472" s="3" t="n">
        <v>46165</v>
      </c>
      <c r="B472" s="4" t="str">
        <f aca="false">TEXT(A472,"MMM YYYY")</f>
        <v>May 2026</v>
      </c>
      <c r="C472" s="5" t="s">
        <v>17</v>
      </c>
      <c r="D472" s="5" t="s">
        <v>15</v>
      </c>
      <c r="E472" s="5" t="s">
        <v>16</v>
      </c>
      <c r="F472" s="6" t="n">
        <v>1748</v>
      </c>
      <c r="G472" s="6" t="n">
        <v>35</v>
      </c>
      <c r="H472" s="6" t="n">
        <v>1380</v>
      </c>
      <c r="I472" s="6" t="n">
        <v>5704</v>
      </c>
      <c r="J472" s="6" t="n">
        <v>63</v>
      </c>
      <c r="K472" s="6" t="n">
        <v>61180</v>
      </c>
    </row>
    <row r="473" customFormat="false" ht="15.75" hidden="false" customHeight="true" outlineLevel="0" collapsed="false">
      <c r="A473" s="7" t="n">
        <v>46166</v>
      </c>
      <c r="B473" s="8" t="str">
        <f aca="false">TEXT(A473,"MMM YYYY")</f>
        <v>May 2026</v>
      </c>
      <c r="C473" s="9" t="s">
        <v>11</v>
      </c>
      <c r="D473" s="9" t="s">
        <v>18</v>
      </c>
      <c r="E473" s="9" t="s">
        <v>13</v>
      </c>
      <c r="F473" s="10" t="n">
        <v>1472</v>
      </c>
      <c r="G473" s="10" t="n">
        <v>50</v>
      </c>
      <c r="H473" s="10" t="n">
        <v>1012</v>
      </c>
      <c r="I473" s="10" t="n">
        <v>39192</v>
      </c>
      <c r="J473" s="10" t="n">
        <v>86</v>
      </c>
      <c r="K473" s="10" t="n">
        <v>73600</v>
      </c>
    </row>
    <row r="474" customFormat="false" ht="15.75" hidden="false" customHeight="true" outlineLevel="0" collapsed="false">
      <c r="A474" s="3" t="n">
        <v>46166</v>
      </c>
      <c r="B474" s="4" t="str">
        <f aca="false">TEXT(A474,"MMM YYYY")</f>
        <v>May 2026</v>
      </c>
      <c r="C474" s="5" t="s">
        <v>11</v>
      </c>
      <c r="D474" s="5" t="s">
        <v>21</v>
      </c>
      <c r="E474" s="5" t="s">
        <v>13</v>
      </c>
      <c r="F474" s="6" t="n">
        <v>1012</v>
      </c>
      <c r="G474" s="6" t="n">
        <v>25</v>
      </c>
      <c r="H474" s="6" t="n">
        <v>1472</v>
      </c>
      <c r="I474" s="6" t="n">
        <v>48208</v>
      </c>
      <c r="J474" s="6" t="n">
        <v>41</v>
      </c>
      <c r="K474" s="6" t="n">
        <v>25300</v>
      </c>
    </row>
    <row r="475" customFormat="false" ht="15.75" hidden="false" customHeight="true" outlineLevel="0" collapsed="false">
      <c r="A475" s="7" t="n">
        <v>46166</v>
      </c>
      <c r="B475" s="8" t="str">
        <f aca="false">TEXT(A475,"MMM YYYY")</f>
        <v>May 2026</v>
      </c>
      <c r="C475" s="9" t="s">
        <v>14</v>
      </c>
      <c r="D475" s="9" t="s">
        <v>21</v>
      </c>
      <c r="E475" s="9" t="s">
        <v>20</v>
      </c>
      <c r="F475" s="10" t="n">
        <v>184</v>
      </c>
      <c r="G475" s="10" t="n">
        <v>35</v>
      </c>
      <c r="H475" s="10" t="n">
        <v>1472</v>
      </c>
      <c r="I475" s="10" t="n">
        <v>48208</v>
      </c>
      <c r="J475" s="10" t="n">
        <v>41</v>
      </c>
      <c r="K475" s="10" t="n">
        <v>6440</v>
      </c>
    </row>
    <row r="476" customFormat="false" ht="15.75" hidden="false" customHeight="true" outlineLevel="0" collapsed="false">
      <c r="A476" s="3" t="n">
        <v>46166</v>
      </c>
      <c r="B476" s="4" t="str">
        <f aca="false">TEXT(A476,"MMM YYYY")</f>
        <v>May 2026</v>
      </c>
      <c r="C476" s="5" t="s">
        <v>17</v>
      </c>
      <c r="D476" s="5" t="s">
        <v>18</v>
      </c>
      <c r="E476" s="5" t="s">
        <v>16</v>
      </c>
      <c r="F476" s="6" t="n">
        <v>1472</v>
      </c>
      <c r="G476" s="6" t="n">
        <v>25</v>
      </c>
      <c r="H476" s="6" t="n">
        <v>1012</v>
      </c>
      <c r="I476" s="6" t="n">
        <v>39192</v>
      </c>
      <c r="J476" s="6" t="n">
        <v>86</v>
      </c>
      <c r="K476" s="6" t="n">
        <v>36800</v>
      </c>
    </row>
    <row r="477" customFormat="false" ht="15.75" hidden="false" customHeight="true" outlineLevel="0" collapsed="false">
      <c r="A477" s="7" t="n">
        <v>46166</v>
      </c>
      <c r="B477" s="8" t="str">
        <f aca="false">TEXT(A477,"MMM YYYY")</f>
        <v>May 2026</v>
      </c>
      <c r="C477" s="9" t="s">
        <v>17</v>
      </c>
      <c r="D477" s="9" t="s">
        <v>21</v>
      </c>
      <c r="E477" s="9" t="s">
        <v>20</v>
      </c>
      <c r="F477" s="10" t="n">
        <v>368</v>
      </c>
      <c r="G477" s="10" t="n">
        <v>75</v>
      </c>
      <c r="H477" s="10" t="n">
        <v>1472</v>
      </c>
      <c r="I477" s="10" t="n">
        <v>48208</v>
      </c>
      <c r="J477" s="10" t="n">
        <v>41</v>
      </c>
      <c r="K477" s="10" t="n">
        <v>27600</v>
      </c>
    </row>
    <row r="478" customFormat="false" ht="15.75" hidden="false" customHeight="true" outlineLevel="0" collapsed="false">
      <c r="A478" s="3" t="n">
        <v>46166</v>
      </c>
      <c r="B478" s="4" t="str">
        <f aca="false">TEXT(A478,"MMM YYYY")</f>
        <v>May 2026</v>
      </c>
      <c r="C478" s="5" t="s">
        <v>17</v>
      </c>
      <c r="D478" s="5" t="s">
        <v>12</v>
      </c>
      <c r="E478" s="5" t="s">
        <v>20</v>
      </c>
      <c r="F478" s="6" t="n">
        <v>644</v>
      </c>
      <c r="G478" s="6" t="n">
        <v>100</v>
      </c>
      <c r="H478" s="6" t="n">
        <v>1472</v>
      </c>
      <c r="I478" s="6" t="n">
        <v>21712</v>
      </c>
      <c r="J478" s="6" t="n">
        <v>42</v>
      </c>
      <c r="K478" s="6" t="n">
        <v>64400</v>
      </c>
    </row>
    <row r="479" customFormat="false" ht="15.75" hidden="false" customHeight="true" outlineLevel="0" collapsed="false">
      <c r="A479" s="7" t="n">
        <v>46166</v>
      </c>
      <c r="B479" s="8" t="str">
        <f aca="false">TEXT(A479,"MMM YYYY")</f>
        <v>May 2026</v>
      </c>
      <c r="C479" s="9" t="s">
        <v>17</v>
      </c>
      <c r="D479" s="9" t="s">
        <v>15</v>
      </c>
      <c r="E479" s="9" t="s">
        <v>13</v>
      </c>
      <c r="F479" s="10" t="n">
        <v>1380</v>
      </c>
      <c r="G479" s="10" t="n">
        <v>35</v>
      </c>
      <c r="H479" s="10" t="n">
        <v>1012</v>
      </c>
      <c r="I479" s="10" t="n">
        <v>52072</v>
      </c>
      <c r="J479" s="10" t="n">
        <v>64</v>
      </c>
      <c r="K479" s="10" t="n">
        <v>48300</v>
      </c>
    </row>
    <row r="480" customFormat="false" ht="15.75" hidden="false" customHeight="true" outlineLevel="0" collapsed="false">
      <c r="A480" s="3" t="n">
        <v>46166</v>
      </c>
      <c r="B480" s="4" t="str">
        <f aca="false">TEXT(A480,"MMM YYYY")</f>
        <v>May 2026</v>
      </c>
      <c r="C480" s="5" t="s">
        <v>17</v>
      </c>
      <c r="D480" s="5" t="s">
        <v>15</v>
      </c>
      <c r="E480" s="5" t="s">
        <v>20</v>
      </c>
      <c r="F480" s="6" t="n">
        <v>1012</v>
      </c>
      <c r="G480" s="6" t="n">
        <v>50</v>
      </c>
      <c r="H480" s="6" t="n">
        <v>1012</v>
      </c>
      <c r="I480" s="6" t="n">
        <v>52072</v>
      </c>
      <c r="J480" s="6" t="n">
        <v>64</v>
      </c>
      <c r="K480" s="6" t="n">
        <v>50600</v>
      </c>
    </row>
    <row r="481" customFormat="false" ht="15.75" hidden="false" customHeight="true" outlineLevel="0" collapsed="false">
      <c r="A481" s="7" t="n">
        <v>46167</v>
      </c>
      <c r="B481" s="8" t="str">
        <f aca="false">TEXT(A481,"MMM YYYY")</f>
        <v>May 2026</v>
      </c>
      <c r="C481" s="9" t="s">
        <v>11</v>
      </c>
      <c r="D481" s="9" t="s">
        <v>19</v>
      </c>
      <c r="E481" s="9" t="s">
        <v>20</v>
      </c>
      <c r="F481" s="10" t="n">
        <v>1288</v>
      </c>
      <c r="G481" s="10" t="n">
        <v>75</v>
      </c>
      <c r="H481" s="10" t="n">
        <v>828</v>
      </c>
      <c r="I481" s="10" t="n">
        <v>12144</v>
      </c>
      <c r="J481" s="10" t="n">
        <v>21</v>
      </c>
      <c r="K481" s="10" t="n">
        <v>96600</v>
      </c>
    </row>
    <row r="482" customFormat="false" ht="15.75" hidden="false" customHeight="true" outlineLevel="0" collapsed="false">
      <c r="A482" s="3" t="n">
        <v>46167</v>
      </c>
      <c r="B482" s="4" t="str">
        <f aca="false">TEXT(A482,"MMM YYYY")</f>
        <v>May 2026</v>
      </c>
      <c r="C482" s="5" t="s">
        <v>11</v>
      </c>
      <c r="D482" s="5" t="s">
        <v>21</v>
      </c>
      <c r="E482" s="5" t="s">
        <v>13</v>
      </c>
      <c r="F482" s="6" t="n">
        <v>552</v>
      </c>
      <c r="G482" s="6" t="n">
        <v>100</v>
      </c>
      <c r="H482" s="6" t="n">
        <v>368</v>
      </c>
      <c r="I482" s="6" t="n">
        <v>5152</v>
      </c>
      <c r="J482" s="6" t="n">
        <v>41</v>
      </c>
      <c r="K482" s="6" t="n">
        <v>55200</v>
      </c>
    </row>
    <row r="483" customFormat="false" ht="15.75" hidden="false" customHeight="true" outlineLevel="0" collapsed="false">
      <c r="A483" s="7" t="n">
        <v>46167</v>
      </c>
      <c r="B483" s="8" t="str">
        <f aca="false">TEXT(A483,"MMM YYYY")</f>
        <v>May 2026</v>
      </c>
      <c r="C483" s="9" t="s">
        <v>14</v>
      </c>
      <c r="D483" s="9" t="s">
        <v>21</v>
      </c>
      <c r="E483" s="9" t="s">
        <v>20</v>
      </c>
      <c r="F483" s="10" t="n">
        <v>1104</v>
      </c>
      <c r="G483" s="10" t="n">
        <v>50</v>
      </c>
      <c r="H483" s="10" t="n">
        <v>368</v>
      </c>
      <c r="I483" s="10" t="n">
        <v>5152</v>
      </c>
      <c r="J483" s="10" t="n">
        <v>41</v>
      </c>
      <c r="K483" s="10" t="n">
        <v>55200</v>
      </c>
    </row>
    <row r="484" customFormat="false" ht="15.75" hidden="false" customHeight="true" outlineLevel="0" collapsed="false">
      <c r="A484" s="3" t="n">
        <v>46167</v>
      </c>
      <c r="B484" s="4" t="str">
        <f aca="false">TEXT(A484,"MMM YYYY")</f>
        <v>May 2026</v>
      </c>
      <c r="C484" s="5" t="s">
        <v>14</v>
      </c>
      <c r="D484" s="5" t="s">
        <v>12</v>
      </c>
      <c r="E484" s="5" t="s">
        <v>20</v>
      </c>
      <c r="F484" s="6" t="n">
        <v>552</v>
      </c>
      <c r="G484" s="6" t="n">
        <v>50</v>
      </c>
      <c r="H484" s="6" t="n">
        <v>368</v>
      </c>
      <c r="I484" s="6" t="n">
        <v>18860</v>
      </c>
      <c r="J484" s="6" t="n">
        <v>59</v>
      </c>
      <c r="K484" s="6" t="n">
        <v>27600</v>
      </c>
    </row>
    <row r="485" customFormat="false" ht="15.75" hidden="false" customHeight="true" outlineLevel="0" collapsed="false">
      <c r="A485" s="7" t="n">
        <v>46167</v>
      </c>
      <c r="B485" s="8" t="str">
        <f aca="false">TEXT(A485,"MMM YYYY")</f>
        <v>May 2026</v>
      </c>
      <c r="C485" s="9" t="s">
        <v>17</v>
      </c>
      <c r="D485" s="9" t="s">
        <v>21</v>
      </c>
      <c r="E485" s="9" t="s">
        <v>20</v>
      </c>
      <c r="F485" s="10" t="n">
        <v>184</v>
      </c>
      <c r="G485" s="10" t="n">
        <v>100</v>
      </c>
      <c r="H485" s="10" t="n">
        <v>368</v>
      </c>
      <c r="I485" s="10" t="n">
        <v>5152</v>
      </c>
      <c r="J485" s="10" t="n">
        <v>41</v>
      </c>
      <c r="K485" s="10" t="n">
        <v>18400</v>
      </c>
    </row>
    <row r="486" customFormat="false" ht="15.75" hidden="false" customHeight="true" outlineLevel="0" collapsed="false">
      <c r="A486" s="3" t="n">
        <v>46167</v>
      </c>
      <c r="B486" s="4" t="str">
        <f aca="false">TEXT(A486,"MMM YYYY")</f>
        <v>May 2026</v>
      </c>
      <c r="C486" s="5" t="s">
        <v>17</v>
      </c>
      <c r="D486" s="5" t="s">
        <v>12</v>
      </c>
      <c r="E486" s="5" t="s">
        <v>13</v>
      </c>
      <c r="F486" s="6" t="n">
        <v>1564</v>
      </c>
      <c r="G486" s="6" t="n">
        <v>35</v>
      </c>
      <c r="H486" s="6" t="n">
        <v>368</v>
      </c>
      <c r="I486" s="6" t="n">
        <v>18860</v>
      </c>
      <c r="J486" s="6" t="n">
        <v>59</v>
      </c>
      <c r="K486" s="6" t="n">
        <v>54740</v>
      </c>
    </row>
    <row r="487" customFormat="false" ht="15.75" hidden="false" customHeight="true" outlineLevel="0" collapsed="false">
      <c r="A487" s="7" t="n">
        <v>46168</v>
      </c>
      <c r="B487" s="8" t="str">
        <f aca="false">TEXT(A487,"MMM YYYY")</f>
        <v>May 2026</v>
      </c>
      <c r="C487" s="9" t="s">
        <v>11</v>
      </c>
      <c r="D487" s="9" t="s">
        <v>19</v>
      </c>
      <c r="E487" s="9" t="s">
        <v>13</v>
      </c>
      <c r="F487" s="10" t="n">
        <v>460</v>
      </c>
      <c r="G487" s="10" t="n">
        <v>50</v>
      </c>
      <c r="H487" s="10" t="n">
        <v>1380</v>
      </c>
      <c r="I487" s="10" t="n">
        <v>29440</v>
      </c>
      <c r="J487" s="10" t="n">
        <v>33</v>
      </c>
      <c r="K487" s="10" t="n">
        <v>23000</v>
      </c>
    </row>
    <row r="488" customFormat="false" ht="15.75" hidden="false" customHeight="true" outlineLevel="0" collapsed="false">
      <c r="A488" s="3" t="n">
        <v>46168</v>
      </c>
      <c r="B488" s="4" t="str">
        <f aca="false">TEXT(A488,"MMM YYYY")</f>
        <v>May 2026</v>
      </c>
      <c r="C488" s="5" t="s">
        <v>11</v>
      </c>
      <c r="D488" s="5" t="s">
        <v>15</v>
      </c>
      <c r="E488" s="5" t="s">
        <v>16</v>
      </c>
      <c r="F488" s="6" t="n">
        <v>184</v>
      </c>
      <c r="G488" s="6" t="n">
        <v>50</v>
      </c>
      <c r="H488" s="6" t="n">
        <v>828</v>
      </c>
      <c r="I488" s="6" t="n">
        <v>28612</v>
      </c>
      <c r="J488" s="6" t="n">
        <v>65</v>
      </c>
      <c r="K488" s="6" t="n">
        <v>9200</v>
      </c>
    </row>
    <row r="489" customFormat="false" ht="15.75" hidden="false" customHeight="true" outlineLevel="0" collapsed="false">
      <c r="A489" s="7" t="n">
        <v>46168</v>
      </c>
      <c r="B489" s="8" t="str">
        <f aca="false">TEXT(A489,"MMM YYYY")</f>
        <v>May 2026</v>
      </c>
      <c r="C489" s="9" t="s">
        <v>14</v>
      </c>
      <c r="D489" s="9" t="s">
        <v>18</v>
      </c>
      <c r="E489" s="9" t="s">
        <v>13</v>
      </c>
      <c r="F489" s="10" t="n">
        <v>92</v>
      </c>
      <c r="G489" s="10" t="n">
        <v>100</v>
      </c>
      <c r="H489" s="10" t="n">
        <v>736</v>
      </c>
      <c r="I489" s="10" t="n">
        <v>31556</v>
      </c>
      <c r="J489" s="10" t="n">
        <v>80</v>
      </c>
      <c r="K489" s="10" t="n">
        <v>9200</v>
      </c>
    </row>
    <row r="490" customFormat="false" ht="15.75" hidden="false" customHeight="true" outlineLevel="0" collapsed="false">
      <c r="A490" s="3" t="n">
        <v>46168</v>
      </c>
      <c r="B490" s="4" t="str">
        <f aca="false">TEXT(A490,"MMM YYYY")</f>
        <v>May 2026</v>
      </c>
      <c r="C490" s="5" t="s">
        <v>17</v>
      </c>
      <c r="D490" s="5" t="s">
        <v>21</v>
      </c>
      <c r="E490" s="5" t="s">
        <v>13</v>
      </c>
      <c r="F490" s="6" t="n">
        <v>92</v>
      </c>
      <c r="G490" s="6" t="n">
        <v>35</v>
      </c>
      <c r="H490" s="6" t="n">
        <v>1196</v>
      </c>
      <c r="I490" s="6" t="n">
        <v>55476</v>
      </c>
      <c r="J490" s="6" t="n">
        <v>41</v>
      </c>
      <c r="K490" s="6" t="n">
        <v>3220</v>
      </c>
    </row>
    <row r="491" customFormat="false" ht="15.75" hidden="false" customHeight="true" outlineLevel="0" collapsed="false">
      <c r="A491" s="7" t="n">
        <v>46169</v>
      </c>
      <c r="B491" s="8" t="str">
        <f aca="false">TEXT(A491,"MMM YYYY")</f>
        <v>May 2026</v>
      </c>
      <c r="C491" s="9" t="s">
        <v>11</v>
      </c>
      <c r="D491" s="9" t="s">
        <v>18</v>
      </c>
      <c r="E491" s="9" t="s">
        <v>20</v>
      </c>
      <c r="F491" s="10" t="n">
        <v>1196</v>
      </c>
      <c r="G491" s="10" t="n">
        <v>25</v>
      </c>
      <c r="H491" s="10" t="n">
        <v>644</v>
      </c>
      <c r="I491" s="10" t="n">
        <v>36340</v>
      </c>
      <c r="J491" s="10" t="n">
        <v>87</v>
      </c>
      <c r="K491" s="10" t="n">
        <v>29900</v>
      </c>
    </row>
    <row r="492" customFormat="false" ht="15.75" hidden="false" customHeight="true" outlineLevel="0" collapsed="false">
      <c r="A492" s="3" t="n">
        <v>46169</v>
      </c>
      <c r="B492" s="4" t="str">
        <f aca="false">TEXT(A492,"MMM YYYY")</f>
        <v>May 2026</v>
      </c>
      <c r="C492" s="5" t="s">
        <v>17</v>
      </c>
      <c r="D492" s="5" t="s">
        <v>18</v>
      </c>
      <c r="E492" s="5" t="s">
        <v>13</v>
      </c>
      <c r="F492" s="6" t="n">
        <v>1196</v>
      </c>
      <c r="G492" s="6" t="n">
        <v>50</v>
      </c>
      <c r="H492" s="6" t="n">
        <v>644</v>
      </c>
      <c r="I492" s="6" t="n">
        <v>36340</v>
      </c>
      <c r="J492" s="6" t="n">
        <v>87</v>
      </c>
      <c r="K492" s="6" t="n">
        <v>59800</v>
      </c>
    </row>
    <row r="493" customFormat="false" ht="15.75" hidden="false" customHeight="true" outlineLevel="0" collapsed="false">
      <c r="A493" s="7" t="n">
        <v>46169</v>
      </c>
      <c r="B493" s="8" t="str">
        <f aca="false">TEXT(A493,"MMM YYYY")</f>
        <v>May 2026</v>
      </c>
      <c r="C493" s="9" t="s">
        <v>17</v>
      </c>
      <c r="D493" s="9" t="s">
        <v>19</v>
      </c>
      <c r="E493" s="9" t="s">
        <v>13</v>
      </c>
      <c r="F493" s="10" t="n">
        <v>92</v>
      </c>
      <c r="G493" s="10" t="n">
        <v>50</v>
      </c>
      <c r="H493" s="10" t="n">
        <v>1380</v>
      </c>
      <c r="I493" s="10" t="n">
        <v>44712</v>
      </c>
      <c r="J493" s="10" t="n">
        <v>34</v>
      </c>
      <c r="K493" s="10" t="n">
        <v>4600</v>
      </c>
    </row>
    <row r="494" customFormat="false" ht="15.75" hidden="false" customHeight="true" outlineLevel="0" collapsed="false">
      <c r="A494" s="3" t="n">
        <v>46169</v>
      </c>
      <c r="B494" s="4" t="str">
        <f aca="false">TEXT(A494,"MMM YYYY")</f>
        <v>May 2026</v>
      </c>
      <c r="C494" s="5" t="s">
        <v>17</v>
      </c>
      <c r="D494" s="5" t="s">
        <v>12</v>
      </c>
      <c r="E494" s="5" t="s">
        <v>13</v>
      </c>
      <c r="F494" s="6" t="n">
        <v>368</v>
      </c>
      <c r="G494" s="6" t="n">
        <v>25</v>
      </c>
      <c r="H494" s="6" t="n">
        <v>552</v>
      </c>
      <c r="I494" s="6" t="n">
        <v>4048</v>
      </c>
      <c r="J494" s="6" t="n">
        <v>55</v>
      </c>
      <c r="K494" s="6" t="n">
        <v>9200</v>
      </c>
    </row>
    <row r="495" customFormat="false" ht="15.75" hidden="false" customHeight="true" outlineLevel="0" collapsed="false">
      <c r="A495" s="7" t="n">
        <v>46170</v>
      </c>
      <c r="B495" s="8" t="str">
        <f aca="false">TEXT(A495,"MMM YYYY")</f>
        <v>May 2026</v>
      </c>
      <c r="C495" s="9" t="s">
        <v>11</v>
      </c>
      <c r="D495" s="9" t="s">
        <v>15</v>
      </c>
      <c r="E495" s="9" t="s">
        <v>20</v>
      </c>
      <c r="F495" s="10" t="n">
        <v>736</v>
      </c>
      <c r="G495" s="10" t="n">
        <v>75</v>
      </c>
      <c r="H495" s="10" t="n">
        <v>1288</v>
      </c>
      <c r="I495" s="10" t="n">
        <v>63388</v>
      </c>
      <c r="J495" s="10" t="n">
        <v>69</v>
      </c>
      <c r="K495" s="10" t="n">
        <v>55200</v>
      </c>
    </row>
    <row r="496" customFormat="false" ht="15.75" hidden="false" customHeight="true" outlineLevel="0" collapsed="false">
      <c r="A496" s="3" t="n">
        <v>46170</v>
      </c>
      <c r="B496" s="4" t="str">
        <f aca="false">TEXT(A496,"MMM YYYY")</f>
        <v>May 2026</v>
      </c>
      <c r="C496" s="5" t="s">
        <v>11</v>
      </c>
      <c r="D496" s="5" t="s">
        <v>15</v>
      </c>
      <c r="E496" s="5" t="s">
        <v>16</v>
      </c>
      <c r="F496" s="6" t="n">
        <v>552</v>
      </c>
      <c r="G496" s="6" t="n">
        <v>25</v>
      </c>
      <c r="H496" s="6" t="n">
        <v>1288</v>
      </c>
      <c r="I496" s="6" t="n">
        <v>63388</v>
      </c>
      <c r="J496" s="6" t="n">
        <v>69</v>
      </c>
      <c r="K496" s="6" t="n">
        <v>13800</v>
      </c>
    </row>
    <row r="497" customFormat="false" ht="15.75" hidden="false" customHeight="true" outlineLevel="0" collapsed="false">
      <c r="A497" s="7" t="n">
        <v>46170</v>
      </c>
      <c r="B497" s="8" t="str">
        <f aca="false">TEXT(A497,"MMM YYYY")</f>
        <v>May 2026</v>
      </c>
      <c r="C497" s="9" t="s">
        <v>14</v>
      </c>
      <c r="D497" s="9" t="s">
        <v>19</v>
      </c>
      <c r="E497" s="9" t="s">
        <v>16</v>
      </c>
      <c r="F497" s="10" t="n">
        <v>552</v>
      </c>
      <c r="G497" s="10" t="n">
        <v>62.5</v>
      </c>
      <c r="H497" s="10" t="n">
        <v>1288</v>
      </c>
      <c r="I497" s="10" t="n">
        <v>18952</v>
      </c>
      <c r="J497" s="10" t="n">
        <v>34</v>
      </c>
      <c r="K497" s="10" t="n">
        <v>27600</v>
      </c>
    </row>
    <row r="498" customFormat="false" ht="15.75" hidden="false" customHeight="true" outlineLevel="0" collapsed="false">
      <c r="A498" s="3" t="n">
        <v>46170</v>
      </c>
      <c r="B498" s="4" t="str">
        <f aca="false">TEXT(A498,"MMM YYYY")</f>
        <v>May 2026</v>
      </c>
      <c r="C498" s="5" t="s">
        <v>17</v>
      </c>
      <c r="D498" s="5" t="s">
        <v>12</v>
      </c>
      <c r="E498" s="5" t="s">
        <v>13</v>
      </c>
      <c r="F498" s="6" t="n">
        <v>2208</v>
      </c>
      <c r="G498" s="6" t="n">
        <v>30</v>
      </c>
      <c r="H498" s="6" t="n">
        <v>2944</v>
      </c>
      <c r="I498" s="6" t="n">
        <v>149408</v>
      </c>
      <c r="J498" s="6" t="n">
        <v>54</v>
      </c>
      <c r="K498" s="6" t="n">
        <v>69920</v>
      </c>
    </row>
    <row r="499" customFormat="false" ht="15.75" hidden="false" customHeight="true" outlineLevel="0" collapsed="false">
      <c r="A499" s="7" t="n">
        <v>46170</v>
      </c>
      <c r="B499" s="8" t="str">
        <f aca="false">TEXT(A499,"MMM YYYY")</f>
        <v>May 2026</v>
      </c>
      <c r="C499" s="9" t="s">
        <v>17</v>
      </c>
      <c r="D499" s="9" t="s">
        <v>12</v>
      </c>
      <c r="E499" s="9" t="s">
        <v>16</v>
      </c>
      <c r="F499" s="10" t="n">
        <v>460</v>
      </c>
      <c r="G499" s="10" t="n">
        <v>75</v>
      </c>
      <c r="H499" s="10" t="n">
        <v>1472</v>
      </c>
      <c r="I499" s="10" t="n">
        <v>74704</v>
      </c>
      <c r="J499" s="10" t="n">
        <v>54</v>
      </c>
      <c r="K499" s="10" t="n">
        <v>34500</v>
      </c>
    </row>
    <row r="500" customFormat="false" ht="15.75" hidden="false" customHeight="true" outlineLevel="0" collapsed="false">
      <c r="A500" s="3" t="n">
        <v>46170</v>
      </c>
      <c r="B500" s="4" t="str">
        <f aca="false">TEXT(A500,"MMM YYYY")</f>
        <v>May 2026</v>
      </c>
      <c r="C500" s="5" t="s">
        <v>17</v>
      </c>
      <c r="D500" s="5" t="s">
        <v>15</v>
      </c>
      <c r="E500" s="5" t="s">
        <v>20</v>
      </c>
      <c r="F500" s="6" t="n">
        <v>1564</v>
      </c>
      <c r="G500" s="6" t="n">
        <v>35</v>
      </c>
      <c r="H500" s="6" t="n">
        <v>1288</v>
      </c>
      <c r="I500" s="6" t="n">
        <v>63388</v>
      </c>
      <c r="J500" s="6" t="n">
        <v>69</v>
      </c>
      <c r="K500" s="6" t="n">
        <v>54740</v>
      </c>
    </row>
    <row r="501" customFormat="false" ht="15.75" hidden="false" customHeight="true" outlineLevel="0" collapsed="false">
      <c r="A501" s="7" t="n">
        <v>46171</v>
      </c>
      <c r="B501" s="8" t="str">
        <f aca="false">TEXT(A501,"MMM YYYY")</f>
        <v>May 2026</v>
      </c>
      <c r="C501" s="9" t="s">
        <v>11</v>
      </c>
      <c r="D501" s="9" t="s">
        <v>18</v>
      </c>
      <c r="E501" s="9" t="s">
        <v>16</v>
      </c>
      <c r="F501" s="10" t="n">
        <v>1104</v>
      </c>
      <c r="G501" s="10" t="n">
        <v>75</v>
      </c>
      <c r="H501" s="10" t="n">
        <v>1472</v>
      </c>
      <c r="I501" s="10" t="n">
        <v>31188</v>
      </c>
      <c r="J501" s="10" t="n">
        <v>87</v>
      </c>
      <c r="K501" s="10" t="n">
        <v>82800</v>
      </c>
    </row>
    <row r="502" customFormat="false" ht="15.75" hidden="false" customHeight="true" outlineLevel="0" collapsed="false">
      <c r="A502" s="3" t="n">
        <v>46171</v>
      </c>
      <c r="B502" s="4" t="str">
        <f aca="false">TEXT(A502,"MMM YYYY")</f>
        <v>May 2026</v>
      </c>
      <c r="C502" s="5" t="s">
        <v>11</v>
      </c>
      <c r="D502" s="5" t="s">
        <v>12</v>
      </c>
      <c r="E502" s="5" t="s">
        <v>20</v>
      </c>
      <c r="F502" s="6" t="n">
        <v>1012</v>
      </c>
      <c r="G502" s="6" t="n">
        <v>35</v>
      </c>
      <c r="H502" s="6" t="n">
        <v>368</v>
      </c>
      <c r="I502" s="6" t="n">
        <v>4232</v>
      </c>
      <c r="J502" s="6" t="n">
        <v>55</v>
      </c>
      <c r="K502" s="6" t="n">
        <v>35420</v>
      </c>
    </row>
    <row r="503" customFormat="false" ht="15.75" hidden="false" customHeight="true" outlineLevel="0" collapsed="false">
      <c r="A503" s="7" t="n">
        <v>46171</v>
      </c>
      <c r="B503" s="8" t="str">
        <f aca="false">TEXT(A503,"MMM YYYY")</f>
        <v>May 2026</v>
      </c>
      <c r="C503" s="9" t="s">
        <v>14</v>
      </c>
      <c r="D503" s="9" t="s">
        <v>12</v>
      </c>
      <c r="E503" s="9" t="s">
        <v>16</v>
      </c>
      <c r="F503" s="10" t="n">
        <v>368</v>
      </c>
      <c r="G503" s="10" t="n">
        <v>25</v>
      </c>
      <c r="H503" s="10" t="n">
        <v>368</v>
      </c>
      <c r="I503" s="10" t="n">
        <v>4232</v>
      </c>
      <c r="J503" s="10" t="n">
        <v>55</v>
      </c>
      <c r="K503" s="10" t="n">
        <v>9200</v>
      </c>
    </row>
    <row r="504" customFormat="false" ht="15.75" hidden="false" customHeight="true" outlineLevel="0" collapsed="false">
      <c r="A504" s="3" t="n">
        <v>46171</v>
      </c>
      <c r="B504" s="4" t="str">
        <f aca="false">TEXT(A504,"MMM YYYY")</f>
        <v>May 2026</v>
      </c>
      <c r="C504" s="5" t="s">
        <v>17</v>
      </c>
      <c r="D504" s="5" t="s">
        <v>19</v>
      </c>
      <c r="E504" s="5" t="s">
        <v>13</v>
      </c>
      <c r="F504" s="6" t="n">
        <v>1196</v>
      </c>
      <c r="G504" s="6" t="n">
        <v>75</v>
      </c>
      <c r="H504" s="6" t="n">
        <v>1472</v>
      </c>
      <c r="I504" s="6" t="n">
        <v>12788</v>
      </c>
      <c r="J504" s="6" t="n">
        <v>25</v>
      </c>
      <c r="K504" s="6" t="n">
        <v>89700</v>
      </c>
    </row>
    <row r="505" customFormat="false" ht="15.75" hidden="false" customHeight="true" outlineLevel="0" collapsed="false">
      <c r="A505" s="7" t="n">
        <v>46172</v>
      </c>
      <c r="B505" s="8" t="str">
        <f aca="false">TEXT(A505,"MMM YYYY")</f>
        <v>May 2026</v>
      </c>
      <c r="C505" s="9" t="s">
        <v>11</v>
      </c>
      <c r="D505" s="9" t="s">
        <v>19</v>
      </c>
      <c r="E505" s="9" t="s">
        <v>13</v>
      </c>
      <c r="F505" s="10" t="n">
        <v>1472</v>
      </c>
      <c r="G505" s="10" t="n">
        <v>25</v>
      </c>
      <c r="H505" s="10" t="n">
        <v>828</v>
      </c>
      <c r="I505" s="10" t="n">
        <v>28336</v>
      </c>
      <c r="J505" s="10" t="n">
        <v>22</v>
      </c>
      <c r="K505" s="10" t="n">
        <v>36800</v>
      </c>
    </row>
    <row r="506" customFormat="false" ht="15.75" hidden="false" customHeight="true" outlineLevel="0" collapsed="false">
      <c r="A506" s="3" t="n">
        <v>46172</v>
      </c>
      <c r="B506" s="4" t="str">
        <f aca="false">TEXT(A506,"MMM YYYY")</f>
        <v>May 2026</v>
      </c>
      <c r="C506" s="5" t="s">
        <v>17</v>
      </c>
      <c r="D506" s="5" t="s">
        <v>18</v>
      </c>
      <c r="E506" s="5" t="s">
        <v>16</v>
      </c>
      <c r="F506" s="6" t="n">
        <v>1012</v>
      </c>
      <c r="G506" s="6" t="n">
        <v>25</v>
      </c>
      <c r="H506" s="6" t="n">
        <v>460</v>
      </c>
      <c r="I506" s="6" t="n">
        <v>25668</v>
      </c>
      <c r="J506" s="6" t="n">
        <v>73</v>
      </c>
      <c r="K506" s="6" t="n">
        <v>25300</v>
      </c>
    </row>
    <row r="507" customFormat="false" ht="15.75" hidden="false" customHeight="true" outlineLevel="0" collapsed="false">
      <c r="A507" s="7" t="n">
        <v>46172</v>
      </c>
      <c r="B507" s="8" t="str">
        <f aca="false">TEXT(A507,"MMM YYYY")</f>
        <v>May 2026</v>
      </c>
      <c r="C507" s="9" t="s">
        <v>17</v>
      </c>
      <c r="D507" s="9" t="s">
        <v>19</v>
      </c>
      <c r="E507" s="9" t="s">
        <v>20</v>
      </c>
      <c r="F507" s="10" t="n">
        <v>552</v>
      </c>
      <c r="G507" s="10" t="n">
        <v>25</v>
      </c>
      <c r="H507" s="10" t="n">
        <v>828</v>
      </c>
      <c r="I507" s="10" t="n">
        <v>28336</v>
      </c>
      <c r="J507" s="10" t="n">
        <v>22</v>
      </c>
      <c r="K507" s="10" t="n">
        <v>13800</v>
      </c>
    </row>
    <row r="508" customFormat="false" ht="15.75" hidden="false" customHeight="true" outlineLevel="0" collapsed="false">
      <c r="A508" s="3" t="n">
        <v>46172</v>
      </c>
      <c r="B508" s="4" t="str">
        <f aca="false">TEXT(A508,"MMM YYYY")</f>
        <v>May 2026</v>
      </c>
      <c r="C508" s="5" t="s">
        <v>17</v>
      </c>
      <c r="D508" s="5" t="s">
        <v>15</v>
      </c>
      <c r="E508" s="5" t="s">
        <v>13</v>
      </c>
      <c r="F508" s="6" t="n">
        <v>1840</v>
      </c>
      <c r="G508" s="6" t="n">
        <v>75</v>
      </c>
      <c r="H508" s="6" t="n">
        <v>1380</v>
      </c>
      <c r="I508" s="6" t="n">
        <v>58420</v>
      </c>
      <c r="J508" s="6" t="n">
        <v>68</v>
      </c>
      <c r="K508" s="6" t="n">
        <v>138000</v>
      </c>
    </row>
    <row r="509" customFormat="false" ht="15.75" hidden="false" customHeight="true" outlineLevel="0" collapsed="false">
      <c r="A509" s="7" t="n">
        <v>46173</v>
      </c>
      <c r="B509" s="8" t="str">
        <f aca="false">TEXT(A509,"MMM YYYY")</f>
        <v>May 2026</v>
      </c>
      <c r="C509" s="9" t="s">
        <v>11</v>
      </c>
      <c r="D509" s="9" t="s">
        <v>19</v>
      </c>
      <c r="E509" s="9" t="s">
        <v>13</v>
      </c>
      <c r="F509" s="10" t="n">
        <v>552</v>
      </c>
      <c r="G509" s="10" t="n">
        <v>100</v>
      </c>
      <c r="H509" s="10" t="n">
        <v>368</v>
      </c>
      <c r="I509" s="10" t="n">
        <v>4876</v>
      </c>
      <c r="J509" s="10" t="n">
        <v>21</v>
      </c>
      <c r="K509" s="10" t="n">
        <v>55200</v>
      </c>
    </row>
    <row r="510" customFormat="false" ht="15.75" hidden="false" customHeight="true" outlineLevel="0" collapsed="false">
      <c r="A510" s="3" t="n">
        <v>46173</v>
      </c>
      <c r="B510" s="4" t="str">
        <f aca="false">TEXT(A510,"MMM YYYY")</f>
        <v>May 2026</v>
      </c>
      <c r="C510" s="5" t="s">
        <v>11</v>
      </c>
      <c r="D510" s="5" t="s">
        <v>19</v>
      </c>
      <c r="E510" s="5" t="s">
        <v>20</v>
      </c>
      <c r="F510" s="6" t="n">
        <v>1380</v>
      </c>
      <c r="G510" s="6" t="n">
        <v>25</v>
      </c>
      <c r="H510" s="6" t="n">
        <v>368</v>
      </c>
      <c r="I510" s="6" t="n">
        <v>4876</v>
      </c>
      <c r="J510" s="6" t="n">
        <v>21</v>
      </c>
      <c r="K510" s="6" t="n">
        <v>34500</v>
      </c>
    </row>
    <row r="511" customFormat="false" ht="15.75" hidden="false" customHeight="true" outlineLevel="0" collapsed="false">
      <c r="A511" s="7" t="n">
        <v>46173</v>
      </c>
      <c r="B511" s="8" t="str">
        <f aca="false">TEXT(A511,"MMM YYYY")</f>
        <v>May 2026</v>
      </c>
      <c r="C511" s="9" t="s">
        <v>11</v>
      </c>
      <c r="D511" s="9" t="s">
        <v>15</v>
      </c>
      <c r="E511" s="9" t="s">
        <v>13</v>
      </c>
      <c r="F511" s="10" t="n">
        <v>1012</v>
      </c>
      <c r="G511" s="10" t="n">
        <v>35</v>
      </c>
      <c r="H511" s="10" t="n">
        <v>1196</v>
      </c>
      <c r="I511" s="10" t="n">
        <v>38456</v>
      </c>
      <c r="J511" s="10" t="n">
        <v>65</v>
      </c>
      <c r="K511" s="10" t="n">
        <v>35420</v>
      </c>
    </row>
    <row r="512" customFormat="false" ht="15.75" hidden="false" customHeight="true" outlineLevel="0" collapsed="false">
      <c r="A512" s="3" t="n">
        <v>46173</v>
      </c>
      <c r="B512" s="4" t="str">
        <f aca="false">TEXT(A512,"MMM YYYY")</f>
        <v>May 2026</v>
      </c>
      <c r="C512" s="5" t="s">
        <v>14</v>
      </c>
      <c r="D512" s="5" t="s">
        <v>18</v>
      </c>
      <c r="E512" s="5" t="s">
        <v>20</v>
      </c>
      <c r="F512" s="6" t="n">
        <v>1564</v>
      </c>
      <c r="G512" s="6" t="n">
        <v>100</v>
      </c>
      <c r="H512" s="6" t="n">
        <v>1472</v>
      </c>
      <c r="I512" s="6" t="n">
        <v>62652</v>
      </c>
      <c r="J512" s="6" t="n">
        <v>70</v>
      </c>
      <c r="K512" s="6" t="n">
        <v>156400</v>
      </c>
    </row>
    <row r="513" customFormat="false" ht="15.75" hidden="false" customHeight="true" outlineLevel="0" collapsed="false">
      <c r="A513" s="7" t="n">
        <v>46173</v>
      </c>
      <c r="B513" s="8" t="str">
        <f aca="false">TEXT(A513,"MMM YYYY")</f>
        <v>May 2026</v>
      </c>
      <c r="C513" s="9" t="s">
        <v>14</v>
      </c>
      <c r="D513" s="9" t="s">
        <v>21</v>
      </c>
      <c r="E513" s="9" t="s">
        <v>20</v>
      </c>
      <c r="F513" s="10" t="n">
        <v>1196</v>
      </c>
      <c r="G513" s="10" t="n">
        <v>75</v>
      </c>
      <c r="H513" s="10" t="n">
        <v>920</v>
      </c>
      <c r="I513" s="10" t="n">
        <v>5980</v>
      </c>
      <c r="J513" s="10" t="n">
        <v>44</v>
      </c>
      <c r="K513" s="10" t="n">
        <v>89700</v>
      </c>
    </row>
    <row r="514" customFormat="false" ht="15.75" hidden="false" customHeight="true" outlineLevel="0" collapsed="false">
      <c r="A514" s="3" t="n">
        <v>46173</v>
      </c>
      <c r="B514" s="4" t="str">
        <f aca="false">TEXT(A514,"MMM YYYY")</f>
        <v>May 2026</v>
      </c>
      <c r="C514" s="5" t="s">
        <v>17</v>
      </c>
      <c r="D514" s="5" t="s">
        <v>21</v>
      </c>
      <c r="E514" s="5" t="s">
        <v>16</v>
      </c>
      <c r="F514" s="6" t="n">
        <v>1104</v>
      </c>
      <c r="G514" s="6" t="n">
        <v>75</v>
      </c>
      <c r="H514" s="6" t="n">
        <v>920</v>
      </c>
      <c r="I514" s="6" t="n">
        <v>5980</v>
      </c>
      <c r="J514" s="6" t="n">
        <v>44</v>
      </c>
      <c r="K514" s="6" t="n">
        <v>82800</v>
      </c>
    </row>
    <row r="515" customFormat="false" ht="15" hidden="false" customHeight="tru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customFormat="false" ht="15" hidden="false" customHeight="tru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customFormat="false" ht="15" hidden="false" customHeight="tru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customFormat="false" ht="15" hidden="false" customHeight="tru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customFormat="false" ht="15" hidden="false" customHeight="tru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customFormat="false" ht="15" hidden="false" customHeight="tru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customFormat="false" ht="15" hidden="false" customHeight="tru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customFormat="false" ht="15" hidden="false" customHeight="tru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U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5" min="3" style="1" width="16"/>
    <col collapsed="false" customWidth="true" hidden="false" outlineLevel="0" max="7" min="6" style="1" width="14"/>
    <col collapsed="false" customWidth="true" hidden="false" outlineLevel="0" max="13" min="8" style="1" width="16"/>
    <col collapsed="false" customWidth="true" hidden="false" outlineLevel="0" max="14" min="14" style="1" width="2"/>
  </cols>
  <sheetData>
    <row r="1" customFormat="false" ht="7.5" hidden="false" customHeight="true" outlineLevel="0" collapsed="false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37.5" hidden="false" customHeight="true" outlineLevel="0" collapsed="false">
      <c r="A2" s="11"/>
      <c r="B2" s="12" t="s">
        <v>22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/>
      <c r="O2" s="11"/>
      <c r="P2" s="11"/>
      <c r="Q2" s="11"/>
      <c r="R2" s="11"/>
      <c r="S2" s="11"/>
      <c r="T2" s="11"/>
      <c r="U2" s="11"/>
    </row>
    <row r="3" customFormat="false" ht="7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customFormat="false" ht="19.5" hidden="false" customHeight="true" outlineLevel="0" collapsed="false">
      <c r="A4" s="11"/>
      <c r="B4" s="13" t="s">
        <v>23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1"/>
      <c r="O4" s="11"/>
      <c r="P4" s="11"/>
      <c r="Q4" s="11"/>
      <c r="R4" s="11"/>
      <c r="S4" s="11"/>
      <c r="T4" s="11"/>
      <c r="U4" s="11"/>
    </row>
    <row r="5" customFormat="false" ht="7.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customFormat="false" ht="24" hidden="false" customHeight="true" outlineLevel="0" collapsed="false">
      <c r="A6" s="11"/>
      <c r="B6" s="14" t="s">
        <v>24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1"/>
      <c r="O6" s="11"/>
      <c r="P6" s="11"/>
      <c r="Q6" s="11"/>
      <c r="R6" s="11"/>
      <c r="S6" s="11"/>
      <c r="T6" s="11"/>
      <c r="U6" s="11"/>
    </row>
    <row r="7" customFormat="false" ht="19.5" hidden="false" customHeight="true" outlineLevel="0" collapsed="false">
      <c r="A7" s="11"/>
      <c r="B7" s="2" t="s">
        <v>25</v>
      </c>
      <c r="C7" s="2" t="s">
        <v>26</v>
      </c>
      <c r="D7" s="2" t="s">
        <v>27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customFormat="false" ht="18" hidden="false" customHeight="true" outlineLevel="0" collapsed="false">
      <c r="A8" s="11"/>
      <c r="B8" s="9" t="s">
        <v>28</v>
      </c>
      <c r="C8" s="15" t="n">
        <v>31</v>
      </c>
      <c r="D8" s="16" t="s">
        <v>29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customFormat="false" ht="18" hidden="false" customHeight="true" outlineLevel="0" collapsed="false">
      <c r="A9" s="11"/>
      <c r="B9" s="9" t="s">
        <v>30</v>
      </c>
      <c r="C9" s="15" t="n">
        <v>30</v>
      </c>
      <c r="D9" s="16" t="s">
        <v>31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customFormat="false" ht="18" hidden="false" customHeight="true" outlineLevel="0" collapsed="false">
      <c r="A10" s="11"/>
      <c r="B10" s="9" t="s">
        <v>32</v>
      </c>
      <c r="C10" s="15" t="n">
        <v>31</v>
      </c>
      <c r="D10" s="16" t="s">
        <v>33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customFormat="false" ht="18" hidden="false" customHeight="true" outlineLevel="0" collapsed="false">
      <c r="A11" s="11"/>
      <c r="B11" s="9" t="s">
        <v>34</v>
      </c>
      <c r="C11" s="15" t="n">
        <v>3</v>
      </c>
      <c r="D11" s="16" t="s">
        <v>35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customFormat="false" ht="18" hidden="false" customHeight="true" outlineLevel="0" collapsed="false">
      <c r="A12" s="11"/>
      <c r="B12" s="9" t="s">
        <v>36</v>
      </c>
      <c r="C12" s="15" t="n">
        <v>4</v>
      </c>
      <c r="D12" s="16" t="s">
        <v>35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customFormat="false" ht="18" hidden="false" customHeight="true" outlineLevel="0" collapsed="false">
      <c r="A13" s="11"/>
      <c r="B13" s="9" t="s">
        <v>37</v>
      </c>
      <c r="C13" s="15" t="n">
        <v>5</v>
      </c>
      <c r="D13" s="16" t="s">
        <v>35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customFormat="false" ht="9.7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24" hidden="false" customHeight="true" outlineLevel="0" collapsed="false">
      <c r="A15" s="11"/>
      <c r="B15" s="17" t="s">
        <v>38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1"/>
      <c r="O15" s="11"/>
      <c r="P15" s="11"/>
      <c r="Q15" s="11"/>
      <c r="R15" s="11"/>
      <c r="S15" s="11"/>
      <c r="T15" s="11"/>
      <c r="U15" s="11"/>
    </row>
    <row r="16" customFormat="false" ht="33.75" hidden="false" customHeight="true" outlineLevel="0" collapsed="false">
      <c r="A16" s="11"/>
      <c r="B16" s="18" t="s">
        <v>39</v>
      </c>
      <c r="C16" s="18" t="s">
        <v>40</v>
      </c>
      <c r="D16" s="18" t="s">
        <v>41</v>
      </c>
      <c r="E16" s="18" t="s">
        <v>42</v>
      </c>
      <c r="F16" s="18" t="s">
        <v>43</v>
      </c>
      <c r="G16" s="18" t="s">
        <v>44</v>
      </c>
      <c r="H16" s="18" t="s">
        <v>45</v>
      </c>
      <c r="I16" s="18" t="s">
        <v>46</v>
      </c>
      <c r="J16" s="18" t="s">
        <v>47</v>
      </c>
      <c r="K16" s="18" t="s">
        <v>48</v>
      </c>
      <c r="L16" s="18" t="s">
        <v>49</v>
      </c>
      <c r="M16" s="18" t="s">
        <v>50</v>
      </c>
      <c r="N16" s="11"/>
      <c r="O16" s="11"/>
      <c r="P16" s="11"/>
      <c r="Q16" s="11"/>
      <c r="R16" s="11"/>
      <c r="S16" s="11"/>
      <c r="T16" s="11"/>
      <c r="U16" s="11"/>
    </row>
    <row r="17" customFormat="false" ht="21.75" hidden="false" customHeight="true" outlineLevel="0" collapsed="false">
      <c r="A17" s="11"/>
      <c r="B17" s="19" t="s">
        <v>51</v>
      </c>
      <c r="C17" s="20" t="n">
        <f aca="false">SUMPRODUCT(('📋 Raw Data'!$K$2:$K$514)*(YEAR('📋 Raw Data'!$A$2:$A$514)=2026)*(MONTH('📋 Raw Data'!$A$2:$A$514)=$C$11))</f>
        <v>10397840</v>
      </c>
      <c r="D17" s="20" t="n">
        <f aca="false">SUMPRODUCT(('📋 Raw Data'!$K$2:$K$514)*(YEAR('📋 Raw Data'!$A$2:$A$514)=2026)*(MONTH('📋 Raw Data'!$A$2:$A$514)=$C$12))</f>
        <v>10089640</v>
      </c>
      <c r="E17" s="20" t="n">
        <f aca="false">SUMPRODUCT(('📋 Raw Data'!$K$2:$K$514)*(YEAR('📋 Raw Data'!$A$2:$A$514)=2026)*(MONTH('📋 Raw Data'!$A$2:$A$514)=$C$13))</f>
        <v>9609400</v>
      </c>
      <c r="F17" s="21" t="n">
        <f aca="false">D17/C17-1</f>
        <v>-0.0296407715448593</v>
      </c>
      <c r="G17" s="21" t="n">
        <f aca="false">E17/D17-1</f>
        <v>-0.0475973374669463</v>
      </c>
      <c r="H17" s="22" t="n">
        <f aca="false">D17-C17</f>
        <v>-308200</v>
      </c>
      <c r="I17" s="22" t="n">
        <f aca="false">E17-D17</f>
        <v>-480240</v>
      </c>
      <c r="J17" s="22" t="n">
        <f aca="false">C17/$C$8</f>
        <v>335414.193548387</v>
      </c>
      <c r="K17" s="22" t="n">
        <f aca="false">D17/$C$9</f>
        <v>336321.333333333</v>
      </c>
      <c r="L17" s="22" t="n">
        <f aca="false">E17/$C$10</f>
        <v>309980.64516129</v>
      </c>
      <c r="M17" s="22" t="n">
        <f aca="false">L17-K17</f>
        <v>-26340.688172043</v>
      </c>
      <c r="N17" s="11"/>
      <c r="O17" s="11"/>
      <c r="P17" s="11"/>
      <c r="Q17" s="11"/>
      <c r="R17" s="11"/>
      <c r="S17" s="11"/>
      <c r="T17" s="11"/>
      <c r="U17" s="11"/>
    </row>
    <row r="18" customFormat="false" ht="19.5" hidden="false" customHeight="true" outlineLevel="0" collapsed="false">
      <c r="A18" s="11"/>
      <c r="B18" s="23" t="s">
        <v>52</v>
      </c>
      <c r="C18" s="24" t="n">
        <f aca="false">SUMPRODUCT(('📋 Raw Data'!$K$2:$K$514)*(YEAR('📋 Raw Data'!$A$2:$A$514)=2026)*(MONTH('📋 Raw Data'!$A$2:$A$514)=$C$11)*('📋 Raw Data'!$C$2:$C$514="Estudante"))</f>
        <v>3317520</v>
      </c>
      <c r="D18" s="24" t="n">
        <f aca="false">SUMPRODUCT(('📋 Raw Data'!$K$2:$K$514)*(YEAR('📋 Raw Data'!$A$2:$A$514)=2026)*(MONTH('📋 Raw Data'!$A$2:$A$514)=$C$12)*('📋 Raw Data'!$C$2:$C$514="Estudante"))</f>
        <v>3670340</v>
      </c>
      <c r="E18" s="24" t="n">
        <f aca="false">SUMPRODUCT(('📋 Raw Data'!$K$2:$K$514)*(YEAR('📋 Raw Data'!$A$2:$A$514)=2026)*(MONTH('📋 Raw Data'!$A$2:$A$514)=$C$13)*('📋 Raw Data'!$C$2:$C$514="Estudante"))</f>
        <v>3220460</v>
      </c>
      <c r="F18" s="25" t="n">
        <f aca="false">D18/C18-1</f>
        <v>0.106350526899612</v>
      </c>
      <c r="G18" s="25" t="n">
        <f aca="false">E18/D18-1</f>
        <v>-0.122571750845971</v>
      </c>
      <c r="H18" s="26" t="n">
        <f aca="false">D18-C18</f>
        <v>352820</v>
      </c>
      <c r="I18" s="26" t="n">
        <f aca="false">E18-D18</f>
        <v>-449880</v>
      </c>
      <c r="J18" s="26" t="n">
        <f aca="false">C18/$C$8</f>
        <v>107016.774193548</v>
      </c>
      <c r="K18" s="26" t="n">
        <f aca="false">D18/$C$9</f>
        <v>122344.666666667</v>
      </c>
      <c r="L18" s="26" t="n">
        <f aca="false">E18/$C$10</f>
        <v>103885.806451613</v>
      </c>
      <c r="M18" s="26" t="n">
        <f aca="false">L18-K18</f>
        <v>-18458.8602150538</v>
      </c>
      <c r="N18" s="11"/>
      <c r="O18" s="11"/>
      <c r="P18" s="11"/>
      <c r="Q18" s="11"/>
      <c r="R18" s="11"/>
      <c r="S18" s="11"/>
      <c r="T18" s="11"/>
      <c r="U18" s="11"/>
    </row>
    <row r="19" customFormat="false" ht="19.5" hidden="false" customHeight="true" outlineLevel="0" collapsed="false">
      <c r="A19" s="11"/>
      <c r="B19" s="27" t="s">
        <v>53</v>
      </c>
      <c r="C19" s="28" t="n">
        <f aca="false">SUMPRODUCT(('📋 Raw Data'!$K$2:$K$514)*(YEAR('📋 Raw Data'!$A$2:$A$514)=2026)*(MONTH('📋 Raw Data'!$A$2:$A$514)=$C$11)*('📋 Raw Data'!$C$2:$C$514="Trabalhador"))</f>
        <v>3131220</v>
      </c>
      <c r="D19" s="28" t="n">
        <f aca="false">SUMPRODUCT(('📋 Raw Data'!$K$2:$K$514)*(YEAR('📋 Raw Data'!$A$2:$A$514)=2026)*(MONTH('📋 Raw Data'!$A$2:$A$514)=$C$12)*('📋 Raw Data'!$C$2:$C$514="Trabalhador"))</f>
        <v>3116960</v>
      </c>
      <c r="E19" s="28" t="n">
        <f aca="false">SUMPRODUCT(('📋 Raw Data'!$K$2:$K$514)*(YEAR('📋 Raw Data'!$A$2:$A$514)=2026)*(MONTH('📋 Raw Data'!$A$2:$A$514)=$C$13)*('📋 Raw Data'!$C$2:$C$514="Trabalhador"))</f>
        <v>2526320</v>
      </c>
      <c r="F19" s="29" t="n">
        <f aca="false">D19/C19-1</f>
        <v>-0.00455413544880268</v>
      </c>
      <c r="G19" s="29" t="n">
        <f aca="false">E19/D19-1</f>
        <v>-0.189492325855962</v>
      </c>
      <c r="H19" s="30" t="n">
        <f aca="false">D19-C19</f>
        <v>-14260</v>
      </c>
      <c r="I19" s="30" t="n">
        <f aca="false">E19-D19</f>
        <v>-590640</v>
      </c>
      <c r="J19" s="30" t="n">
        <f aca="false">C19/$C$8</f>
        <v>101007.096774194</v>
      </c>
      <c r="K19" s="30" t="n">
        <f aca="false">D19/$C$9</f>
        <v>103898.666666667</v>
      </c>
      <c r="L19" s="30" t="n">
        <f aca="false">E19/$C$10</f>
        <v>81494.1935483871</v>
      </c>
      <c r="M19" s="30" t="n">
        <f aca="false">L19-K19</f>
        <v>-22404.4731182796</v>
      </c>
      <c r="N19" s="11"/>
      <c r="O19" s="11"/>
      <c r="P19" s="11"/>
      <c r="Q19" s="11"/>
      <c r="R19" s="11"/>
      <c r="S19" s="11"/>
      <c r="T19" s="11"/>
      <c r="U19" s="11"/>
    </row>
    <row r="20" customFormat="false" ht="19.5" hidden="false" customHeight="true" outlineLevel="0" collapsed="false">
      <c r="A20" s="11"/>
      <c r="B20" s="31" t="s">
        <v>54</v>
      </c>
      <c r="C20" s="24" t="n">
        <f aca="false">SUMPRODUCT(('📋 Raw Data'!$K$2:$K$514)*(YEAR('📋 Raw Data'!$A$2:$A$514)=2026)*(MONTH('📋 Raw Data'!$A$2:$A$514)=$C$11)*('📋 Raw Data'!$C$2:$C$514="Turista"))</f>
        <v>3949100</v>
      </c>
      <c r="D20" s="24" t="n">
        <f aca="false">SUMPRODUCT(('📋 Raw Data'!$K$2:$K$514)*(YEAR('📋 Raw Data'!$A$2:$A$514)=2026)*(MONTH('📋 Raw Data'!$A$2:$A$514)=$C$12)*('📋 Raw Data'!$C$2:$C$514="Turista"))</f>
        <v>3302340</v>
      </c>
      <c r="E20" s="24" t="n">
        <f aca="false">SUMPRODUCT(('📋 Raw Data'!$K$2:$K$514)*(YEAR('📋 Raw Data'!$A$2:$A$514)=2026)*(MONTH('📋 Raw Data'!$A$2:$A$514)=$C$13)*('📋 Raw Data'!$C$2:$C$514="Turista"))</f>
        <v>3862620</v>
      </c>
      <c r="F20" s="25" t="n">
        <f aca="false">D20/C20-1</f>
        <v>-0.16377402446127</v>
      </c>
      <c r="G20" s="25" t="n">
        <f aca="false">E20/D20-1</f>
        <v>0.169661512745508</v>
      </c>
      <c r="H20" s="26" t="n">
        <f aca="false">D20-C20</f>
        <v>-646760</v>
      </c>
      <c r="I20" s="26" t="n">
        <f aca="false">E20-D20</f>
        <v>560280</v>
      </c>
      <c r="J20" s="26" t="n">
        <f aca="false">C20/$C$8</f>
        <v>127390.322580645</v>
      </c>
      <c r="K20" s="26" t="n">
        <f aca="false">D20/$C$9</f>
        <v>110078</v>
      </c>
      <c r="L20" s="26" t="n">
        <f aca="false">E20/$C$10</f>
        <v>124600.64516129</v>
      </c>
      <c r="M20" s="26" t="n">
        <f aca="false">L20-K20</f>
        <v>14522.6451612903</v>
      </c>
      <c r="N20" s="11"/>
      <c r="O20" s="11"/>
      <c r="P20" s="11"/>
      <c r="Q20" s="11"/>
      <c r="R20" s="11"/>
      <c r="S20" s="11"/>
      <c r="T20" s="11"/>
      <c r="U20" s="11"/>
    </row>
    <row r="21" customFormat="false" ht="7.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customFormat="false" ht="21.75" hidden="false" customHeight="true" outlineLevel="0" collapsed="false">
      <c r="A22" s="11"/>
      <c r="B22" s="19" t="s">
        <v>55</v>
      </c>
      <c r="C22" s="32" t="n">
        <f aca="false">SUMPRODUCT(('📋 Raw Data'!$H$2:$H$514)*(YEAR('📋 Raw Data'!$A$2:$A$514)=2026)*(MONTH('📋 Raw Data'!$A$2:$A$514)=$C$11))</f>
        <v>181056</v>
      </c>
      <c r="D22" s="32" t="n">
        <f aca="false">SUMPRODUCT(('📋 Raw Data'!$H$2:$H$514)*(YEAR('📋 Raw Data'!$A$2:$A$514)=2026)*(MONTH('📋 Raw Data'!$A$2:$A$514)=$C$12))</f>
        <v>167716</v>
      </c>
      <c r="E22" s="32" t="n">
        <f aca="false">SUMPRODUCT(('📋 Raw Data'!$H$2:$H$514)*(YEAR('📋 Raw Data'!$A$2:$A$514)=2026)*(MONTH('📋 Raw Data'!$A$2:$A$514)=$C$13))</f>
        <v>171212</v>
      </c>
      <c r="F22" s="21" t="n">
        <f aca="false">D22/C22-1</f>
        <v>-0.0736788617886179</v>
      </c>
      <c r="G22" s="21" t="n">
        <f aca="false">E22/D22-1</f>
        <v>0.0208447613823368</v>
      </c>
      <c r="H22" s="33" t="n">
        <f aca="false">D22-C22</f>
        <v>-13340</v>
      </c>
      <c r="I22" s="33" t="n">
        <f aca="false">E22-D22</f>
        <v>3496</v>
      </c>
      <c r="J22" s="33" t="n">
        <f aca="false">C22/$C$8</f>
        <v>5840.51612903226</v>
      </c>
      <c r="K22" s="33" t="n">
        <f aca="false">D22/$C$9</f>
        <v>5590.53333333333</v>
      </c>
      <c r="L22" s="33" t="n">
        <f aca="false">E22/$C$10</f>
        <v>5522.96774193548</v>
      </c>
      <c r="M22" s="33" t="n">
        <f aca="false">L22-K22</f>
        <v>-67.5655913978499</v>
      </c>
      <c r="N22" s="11"/>
      <c r="O22" s="11"/>
      <c r="P22" s="11"/>
      <c r="Q22" s="11"/>
      <c r="R22" s="11"/>
      <c r="S22" s="11"/>
      <c r="T22" s="11"/>
      <c r="U22" s="11"/>
    </row>
    <row r="23" customFormat="false" ht="19.5" hidden="false" customHeight="true" outlineLevel="0" collapsed="false">
      <c r="A23" s="11"/>
      <c r="B23" s="23" t="s">
        <v>52</v>
      </c>
      <c r="C23" s="34" t="n">
        <f aca="false">SUMPRODUCT(('📋 Raw Data'!$H$2:$H$514)*(YEAR('📋 Raw Data'!$A$2:$A$514)=2026)*(MONTH('📋 Raw Data'!$A$2:$A$514)=$C$11)*('📋 Raw Data'!$C$2:$C$514="Estudante"))</f>
        <v>56764</v>
      </c>
      <c r="D23" s="34" t="n">
        <f aca="false">SUMPRODUCT(('📋 Raw Data'!$H$2:$H$514)*(YEAR('📋 Raw Data'!$A$2:$A$514)=2026)*(MONTH('📋 Raw Data'!$A$2:$A$514)=$C$12)*('📋 Raw Data'!$C$2:$C$514="Estudante"))</f>
        <v>58328</v>
      </c>
      <c r="E23" s="34" t="n">
        <f aca="false">SUMPRODUCT(('📋 Raw Data'!$H$2:$H$514)*(YEAR('📋 Raw Data'!$A$2:$A$514)=2026)*(MONTH('📋 Raw Data'!$A$2:$A$514)=$C$13)*('📋 Raw Data'!$C$2:$C$514="Estudante"))</f>
        <v>58328</v>
      </c>
      <c r="F23" s="25" t="n">
        <f aca="false">D23/C23-1</f>
        <v>0.027552674230146</v>
      </c>
      <c r="G23" s="25" t="n">
        <f aca="false">E23/D23-1</f>
        <v>0</v>
      </c>
      <c r="H23" s="35" t="n">
        <f aca="false">D23-C23</f>
        <v>1564</v>
      </c>
      <c r="I23" s="35" t="n">
        <f aca="false">E23-D23</f>
        <v>0</v>
      </c>
      <c r="J23" s="35" t="n">
        <f aca="false">C23/$C$8</f>
        <v>1831.09677419355</v>
      </c>
      <c r="K23" s="35" t="n">
        <f aca="false">D23/$C$9</f>
        <v>1944.26666666667</v>
      </c>
      <c r="L23" s="35" t="n">
        <f aca="false">E23/$C$10</f>
        <v>1881.54838709677</v>
      </c>
      <c r="M23" s="35" t="n">
        <f aca="false">L23-K23</f>
        <v>-62.7182795698925</v>
      </c>
      <c r="N23" s="11"/>
      <c r="O23" s="11"/>
      <c r="P23" s="11"/>
      <c r="Q23" s="11"/>
      <c r="R23" s="11"/>
      <c r="S23" s="11"/>
      <c r="T23" s="11"/>
      <c r="U23" s="11"/>
    </row>
    <row r="24" customFormat="false" ht="19.5" hidden="false" customHeight="true" outlineLevel="0" collapsed="false">
      <c r="A24" s="11"/>
      <c r="B24" s="27" t="s">
        <v>53</v>
      </c>
      <c r="C24" s="36" t="n">
        <f aca="false">SUMPRODUCT(('📋 Raw Data'!$H$2:$H$514)*(YEAR('📋 Raw Data'!$A$2:$A$514)=2026)*(MONTH('📋 Raw Data'!$A$2:$A$514)=$C$11)*('📋 Raw Data'!$C$2:$C$514="Trabalhador"))</f>
        <v>54556</v>
      </c>
      <c r="D24" s="36" t="n">
        <f aca="false">SUMPRODUCT(('📋 Raw Data'!$H$2:$H$514)*(YEAR('📋 Raw Data'!$A$2:$A$514)=2026)*(MONTH('📋 Raw Data'!$A$2:$A$514)=$C$12)*('📋 Raw Data'!$C$2:$C$514="Trabalhador"))</f>
        <v>50508</v>
      </c>
      <c r="E24" s="36" t="n">
        <f aca="false">SUMPRODUCT(('📋 Raw Data'!$H$2:$H$514)*(YEAR('📋 Raw Data'!$A$2:$A$514)=2026)*(MONTH('📋 Raw Data'!$A$2:$A$514)=$C$13)*('📋 Raw Data'!$C$2:$C$514="Trabalhador"))</f>
        <v>42872</v>
      </c>
      <c r="F24" s="29" t="n">
        <f aca="false">D24/C24-1</f>
        <v>-0.0741989881956156</v>
      </c>
      <c r="G24" s="29" t="n">
        <f aca="false">E24/D24-1</f>
        <v>-0.151183970856102</v>
      </c>
      <c r="H24" s="37" t="n">
        <f aca="false">D24-C24</f>
        <v>-4048</v>
      </c>
      <c r="I24" s="37" t="n">
        <f aca="false">E24-D24</f>
        <v>-7636</v>
      </c>
      <c r="J24" s="37" t="n">
        <f aca="false">C24/$C$8</f>
        <v>1759.87096774194</v>
      </c>
      <c r="K24" s="37" t="n">
        <f aca="false">D24/$C$9</f>
        <v>1683.6</v>
      </c>
      <c r="L24" s="37" t="n">
        <f aca="false">E24/$C$10</f>
        <v>1382.96774193548</v>
      </c>
      <c r="M24" s="37" t="n">
        <f aca="false">L24-K24</f>
        <v>-300.632258064516</v>
      </c>
      <c r="N24" s="11"/>
      <c r="O24" s="11"/>
      <c r="P24" s="11"/>
      <c r="Q24" s="11"/>
      <c r="R24" s="11"/>
      <c r="S24" s="11"/>
      <c r="T24" s="11"/>
      <c r="U24" s="11"/>
    </row>
    <row r="25" customFormat="false" ht="19.5" hidden="false" customHeight="true" outlineLevel="0" collapsed="false">
      <c r="A25" s="11"/>
      <c r="B25" s="31" t="s">
        <v>54</v>
      </c>
      <c r="C25" s="34" t="n">
        <f aca="false">SUMPRODUCT(('📋 Raw Data'!$H$2:$H$514)*(YEAR('📋 Raw Data'!$A$2:$A$514)=2026)*(MONTH('📋 Raw Data'!$A$2:$A$514)=$C$11)*('📋 Raw Data'!$C$2:$C$514="Turista"))</f>
        <v>69736</v>
      </c>
      <c r="D25" s="34" t="n">
        <f aca="false">SUMPRODUCT(('📋 Raw Data'!$H$2:$H$514)*(YEAR('📋 Raw Data'!$A$2:$A$514)=2026)*(MONTH('📋 Raw Data'!$A$2:$A$514)=$C$12)*('📋 Raw Data'!$C$2:$C$514="Turista"))</f>
        <v>58880</v>
      </c>
      <c r="E25" s="34" t="n">
        <f aca="false">SUMPRODUCT(('📋 Raw Data'!$H$2:$H$514)*(YEAR('📋 Raw Data'!$A$2:$A$514)=2026)*(MONTH('📋 Raw Data'!$A$2:$A$514)=$C$13)*('📋 Raw Data'!$C$2:$C$514="Turista"))</f>
        <v>70012</v>
      </c>
      <c r="F25" s="25" t="n">
        <f aca="false">D25/C25-1</f>
        <v>-0.155672823218997</v>
      </c>
      <c r="G25" s="25" t="n">
        <f aca="false">E25/D25-1</f>
        <v>0.1890625</v>
      </c>
      <c r="H25" s="35" t="n">
        <f aca="false">D25-C25</f>
        <v>-10856</v>
      </c>
      <c r="I25" s="35" t="n">
        <f aca="false">E25-D25</f>
        <v>11132</v>
      </c>
      <c r="J25" s="35" t="n">
        <f aca="false">C25/$C$8</f>
        <v>2249.54838709677</v>
      </c>
      <c r="K25" s="35" t="n">
        <f aca="false">D25/$C$9</f>
        <v>1962.66666666667</v>
      </c>
      <c r="L25" s="35" t="n">
        <f aca="false">E25/$C$10</f>
        <v>2258.45161290323</v>
      </c>
      <c r="M25" s="35" t="n">
        <f aca="false">L25-K25</f>
        <v>295.784946236559</v>
      </c>
      <c r="N25" s="11"/>
      <c r="O25" s="11"/>
      <c r="P25" s="11"/>
      <c r="Q25" s="11"/>
      <c r="R25" s="11"/>
      <c r="S25" s="11"/>
      <c r="T25" s="11"/>
      <c r="U25" s="11"/>
    </row>
    <row r="26" customFormat="false" ht="7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21.75" hidden="false" customHeight="true" outlineLevel="0" collapsed="false">
      <c r="A27" s="11"/>
      <c r="B27" s="19" t="s">
        <v>56</v>
      </c>
      <c r="C27" s="32" t="n">
        <f aca="false">SUMPRODUCT(('📋 Raw Data'!$I$2:$I$514)*(YEAR('📋 Raw Data'!$A$2:$A$514)=2026)*(MONTH('📋 Raw Data'!$A$2:$A$514)=$C$11))</f>
        <v>5116948</v>
      </c>
      <c r="D27" s="32" t="n">
        <f aca="false">SUMPRODUCT(('📋 Raw Data'!$I$2:$I$514)*(YEAR('📋 Raw Data'!$A$2:$A$514)=2026)*(MONTH('📋 Raw Data'!$A$2:$A$514)=$C$12))</f>
        <v>4722820</v>
      </c>
      <c r="E27" s="32" t="n">
        <f aca="false">SUMPRODUCT(('📋 Raw Data'!$I$2:$I$514)*(YEAR('📋 Raw Data'!$A$2:$A$514)=2026)*(MONTH('📋 Raw Data'!$A$2:$A$514)=$C$13))</f>
        <v>4894124</v>
      </c>
      <c r="F27" s="21" t="n">
        <f aca="false">D27/C27-1</f>
        <v>-0.0770240385479782</v>
      </c>
      <c r="G27" s="21" t="n">
        <f aca="false">E27/D27-1</f>
        <v>0.0362715496250121</v>
      </c>
      <c r="H27" s="33" t="n">
        <f aca="false">D27-C27</f>
        <v>-394128</v>
      </c>
      <c r="I27" s="33" t="n">
        <f aca="false">E27-D27</f>
        <v>171304</v>
      </c>
      <c r="J27" s="33" t="n">
        <f aca="false">C27/$C$8</f>
        <v>165062.838709677</v>
      </c>
      <c r="K27" s="33" t="n">
        <f aca="false">D27/$C$9</f>
        <v>157427.333333333</v>
      </c>
      <c r="L27" s="33" t="n">
        <f aca="false">E27/$C$10</f>
        <v>157874.967741935</v>
      </c>
      <c r="M27" s="33" t="n">
        <f aca="false">L27-K27</f>
        <v>447.634408602142</v>
      </c>
      <c r="N27" s="11"/>
      <c r="O27" s="11"/>
      <c r="P27" s="11"/>
      <c r="Q27" s="11"/>
      <c r="R27" s="11"/>
      <c r="S27" s="11"/>
      <c r="T27" s="11"/>
      <c r="U27" s="11"/>
    </row>
    <row r="28" customFormat="false" ht="19.5" hidden="false" customHeight="true" outlineLevel="0" collapsed="false">
      <c r="A28" s="11"/>
      <c r="B28" s="23" t="s">
        <v>52</v>
      </c>
      <c r="C28" s="34" t="n">
        <f aca="false">SUMPRODUCT(('📋 Raw Data'!$I$2:$I$514)*(YEAR('📋 Raw Data'!$A$2:$A$514)=2026)*(MONTH('📋 Raw Data'!$A$2:$A$514)=$C$11)*('📋 Raw Data'!$C$2:$C$514="Estudante"))</f>
        <v>1509812</v>
      </c>
      <c r="D28" s="34" t="n">
        <f aca="false">SUMPRODUCT(('📋 Raw Data'!$I$2:$I$514)*(YEAR('📋 Raw Data'!$A$2:$A$514)=2026)*(MONTH('📋 Raw Data'!$A$2:$A$514)=$C$12)*('📋 Raw Data'!$C$2:$C$514="Estudante"))</f>
        <v>1601996</v>
      </c>
      <c r="E28" s="34" t="n">
        <f aca="false">SUMPRODUCT(('📋 Raw Data'!$I$2:$I$514)*(YEAR('📋 Raw Data'!$A$2:$A$514)=2026)*(MONTH('📋 Raw Data'!$A$2:$A$514)=$C$13)*('📋 Raw Data'!$C$2:$C$514="Estudante"))</f>
        <v>1676884</v>
      </c>
      <c r="F28" s="25" t="n">
        <f aca="false">D28/C28-1</f>
        <v>0.0610566083724331</v>
      </c>
      <c r="G28" s="25" t="n">
        <f aca="false">E28/D28-1</f>
        <v>0.0467466835123185</v>
      </c>
      <c r="H28" s="35" t="n">
        <f aca="false">D28-C28</f>
        <v>92184</v>
      </c>
      <c r="I28" s="35" t="n">
        <f aca="false">E28-D28</f>
        <v>74888</v>
      </c>
      <c r="J28" s="35" t="n">
        <f aca="false">C28/$C$8</f>
        <v>48703.6129032258</v>
      </c>
      <c r="K28" s="35" t="n">
        <f aca="false">D28/$C$9</f>
        <v>53399.8666666667</v>
      </c>
      <c r="L28" s="35" t="n">
        <f aca="false">E28/$C$10</f>
        <v>54093.0322580645</v>
      </c>
      <c r="M28" s="35" t="n">
        <f aca="false">L28-K28</f>
        <v>693.165591397847</v>
      </c>
      <c r="N28" s="11"/>
      <c r="O28" s="11"/>
      <c r="P28" s="11"/>
      <c r="Q28" s="11"/>
      <c r="R28" s="11"/>
      <c r="S28" s="11"/>
      <c r="T28" s="11"/>
      <c r="U28" s="11"/>
    </row>
    <row r="29" customFormat="false" ht="19.5" hidden="false" customHeight="true" outlineLevel="0" collapsed="false">
      <c r="A29" s="11"/>
      <c r="B29" s="27" t="s">
        <v>53</v>
      </c>
      <c r="C29" s="36" t="n">
        <f aca="false">SUMPRODUCT(('📋 Raw Data'!$I$2:$I$514)*(YEAR('📋 Raw Data'!$A$2:$A$514)=2026)*(MONTH('📋 Raw Data'!$A$2:$A$514)=$C$11)*('📋 Raw Data'!$C$2:$C$514="Trabalhador"))</f>
        <v>1599604</v>
      </c>
      <c r="D29" s="36" t="n">
        <f aca="false">SUMPRODUCT(('📋 Raw Data'!$I$2:$I$514)*(YEAR('📋 Raw Data'!$A$2:$A$514)=2026)*(MONTH('📋 Raw Data'!$A$2:$A$514)=$C$12)*('📋 Raw Data'!$C$2:$C$514="Trabalhador"))</f>
        <v>1192872</v>
      </c>
      <c r="E29" s="36" t="n">
        <f aca="false">SUMPRODUCT(('📋 Raw Data'!$I$2:$I$514)*(YEAR('📋 Raw Data'!$A$2:$A$514)=2026)*(MONTH('📋 Raw Data'!$A$2:$A$514)=$C$13)*('📋 Raw Data'!$C$2:$C$514="Trabalhador"))</f>
        <v>1207776</v>
      </c>
      <c r="F29" s="29" t="n">
        <f aca="false">D29/C29-1</f>
        <v>-0.254270431931903</v>
      </c>
      <c r="G29" s="29" t="n">
        <f aca="false">E29/D29-1</f>
        <v>0.0124942156409069</v>
      </c>
      <c r="H29" s="37" t="n">
        <f aca="false">D29-C29</f>
        <v>-406732</v>
      </c>
      <c r="I29" s="37" t="n">
        <f aca="false">E29-D29</f>
        <v>14904</v>
      </c>
      <c r="J29" s="37" t="n">
        <f aca="false">C29/$C$8</f>
        <v>51600.1290322581</v>
      </c>
      <c r="K29" s="37" t="n">
        <f aca="false">D29/$C$9</f>
        <v>39762.4</v>
      </c>
      <c r="L29" s="37" t="n">
        <f aca="false">E29/$C$10</f>
        <v>38960.5161290323</v>
      </c>
      <c r="M29" s="37" t="n">
        <f aca="false">L29-K29</f>
        <v>-801.883870967744</v>
      </c>
      <c r="N29" s="11"/>
      <c r="O29" s="11"/>
      <c r="P29" s="11"/>
      <c r="Q29" s="11"/>
      <c r="R29" s="11"/>
      <c r="S29" s="11"/>
      <c r="T29" s="11"/>
      <c r="U29" s="11"/>
    </row>
    <row r="30" customFormat="false" ht="19.5" hidden="false" customHeight="true" outlineLevel="0" collapsed="false">
      <c r="A30" s="11"/>
      <c r="B30" s="31" t="s">
        <v>54</v>
      </c>
      <c r="C30" s="34" t="n">
        <f aca="false">SUMPRODUCT(('📋 Raw Data'!$I$2:$I$514)*(YEAR('📋 Raw Data'!$A$2:$A$514)=2026)*(MONTH('📋 Raw Data'!$A$2:$A$514)=$C$11)*('📋 Raw Data'!$C$2:$C$514="Turista"))</f>
        <v>2007532</v>
      </c>
      <c r="D30" s="34" t="n">
        <f aca="false">SUMPRODUCT(('📋 Raw Data'!$I$2:$I$514)*(YEAR('📋 Raw Data'!$A$2:$A$514)=2026)*(MONTH('📋 Raw Data'!$A$2:$A$514)=$C$12)*('📋 Raw Data'!$C$2:$C$514="Turista"))</f>
        <v>1927952</v>
      </c>
      <c r="E30" s="34" t="n">
        <f aca="false">SUMPRODUCT(('📋 Raw Data'!$I$2:$I$514)*(YEAR('📋 Raw Data'!$A$2:$A$514)=2026)*(MONTH('📋 Raw Data'!$A$2:$A$514)=$C$13)*('📋 Raw Data'!$C$2:$C$514="Turista"))</f>
        <v>2009464</v>
      </c>
      <c r="F30" s="25" t="n">
        <f aca="false">D30/C30-1</f>
        <v>-0.0396407130745612</v>
      </c>
      <c r="G30" s="25" t="n">
        <f aca="false">E30/D30-1</f>
        <v>0.0422790608894827</v>
      </c>
      <c r="H30" s="35" t="n">
        <f aca="false">D30-C30</f>
        <v>-79580</v>
      </c>
      <c r="I30" s="35" t="n">
        <f aca="false">E30-D30</f>
        <v>81512</v>
      </c>
      <c r="J30" s="35" t="n">
        <f aca="false">C30/$C$8</f>
        <v>64759.0967741935</v>
      </c>
      <c r="K30" s="35" t="n">
        <f aca="false">D30/$C$9</f>
        <v>64265.0666666667</v>
      </c>
      <c r="L30" s="35" t="n">
        <f aca="false">E30/$C$10</f>
        <v>64821.4193548387</v>
      </c>
      <c r="M30" s="35" t="n">
        <f aca="false">L30-K30</f>
        <v>556.352688172046</v>
      </c>
      <c r="N30" s="11"/>
      <c r="O30" s="11"/>
      <c r="P30" s="11"/>
      <c r="Q30" s="11"/>
      <c r="R30" s="11"/>
      <c r="S30" s="11"/>
      <c r="T30" s="11"/>
      <c r="U30" s="11"/>
    </row>
    <row r="31" customFormat="false" ht="7.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customFormat="false" ht="21.75" hidden="false" customHeight="true" outlineLevel="0" collapsed="false">
      <c r="A32" s="11"/>
      <c r="B32" s="19" t="s">
        <v>57</v>
      </c>
      <c r="C32" s="32" t="n">
        <f aca="false">SUMPRODUCT(('📋 Raw Data'!$F$2:$F$514)*(YEAR('📋 Raw Data'!$A$2:$A$514)=2026)*(MONTH('📋 Raw Data'!$A$2:$A$514)=$C$11))</f>
        <v>177284</v>
      </c>
      <c r="D32" s="32" t="n">
        <f aca="false">SUMPRODUCT(('📋 Raw Data'!$F$2:$F$514)*(YEAR('📋 Raw Data'!$A$2:$A$514)=2026)*(MONTH('📋 Raw Data'!$A$2:$A$514)=$C$12))</f>
        <v>174616</v>
      </c>
      <c r="E32" s="32" t="n">
        <f aca="false">SUMPRODUCT(('📋 Raw Data'!$F$2:$F$514)*(YEAR('📋 Raw Data'!$A$2:$A$514)=2026)*(MONTH('📋 Raw Data'!$A$2:$A$514)=$C$13))</f>
        <v>166704</v>
      </c>
      <c r="F32" s="21" t="n">
        <f aca="false">D32/C32-1</f>
        <v>-0.0150492994291646</v>
      </c>
      <c r="G32" s="21" t="n">
        <f aca="false">E32/D32-1</f>
        <v>-0.0453108535300316</v>
      </c>
      <c r="H32" s="33" t="n">
        <f aca="false">D32-C32</f>
        <v>-2668</v>
      </c>
      <c r="I32" s="33" t="n">
        <f aca="false">E32-D32</f>
        <v>-7912</v>
      </c>
      <c r="J32" s="33" t="n">
        <f aca="false">C32/$C$8</f>
        <v>5718.83870967742</v>
      </c>
      <c r="K32" s="33" t="n">
        <f aca="false">D32/$C$9</f>
        <v>5820.53333333333</v>
      </c>
      <c r="L32" s="33" t="n">
        <f aca="false">E32/$C$10</f>
        <v>5377.54838709678</v>
      </c>
      <c r="M32" s="33" t="n">
        <f aca="false">L32-K32</f>
        <v>-442.984946236559</v>
      </c>
      <c r="N32" s="11"/>
      <c r="O32" s="11"/>
      <c r="P32" s="11"/>
      <c r="Q32" s="11"/>
      <c r="R32" s="11"/>
      <c r="S32" s="11"/>
      <c r="T32" s="11"/>
      <c r="U32" s="11"/>
    </row>
    <row r="33" customFormat="false" ht="19.5" hidden="false" customHeight="true" outlineLevel="0" collapsed="false">
      <c r="A33" s="11"/>
      <c r="B33" s="23" t="s">
        <v>52</v>
      </c>
      <c r="C33" s="34" t="n">
        <f aca="false">SUMPRODUCT(('📋 Raw Data'!$F$2:$F$514)*(YEAR('📋 Raw Data'!$A$2:$A$514)=2026)*(MONTH('📋 Raw Data'!$A$2:$A$514)=$C$11)*('📋 Raw Data'!$C$2:$C$514="Estudante"))</f>
        <v>52992</v>
      </c>
      <c r="D33" s="34" t="n">
        <f aca="false">SUMPRODUCT(('📋 Raw Data'!$F$2:$F$514)*(YEAR('📋 Raw Data'!$A$2:$A$514)=2026)*(MONTH('📋 Raw Data'!$A$2:$A$514)=$C$12)*('📋 Raw Data'!$C$2:$C$514="Estudante"))</f>
        <v>59800</v>
      </c>
      <c r="E33" s="34" t="n">
        <f aca="false">SUMPRODUCT(('📋 Raw Data'!$F$2:$F$514)*(YEAR('📋 Raw Data'!$A$2:$A$514)=2026)*(MONTH('📋 Raw Data'!$A$2:$A$514)=$C$13)*('📋 Raw Data'!$C$2:$C$514="Estudante"))</f>
        <v>55476</v>
      </c>
      <c r="F33" s="25" t="n">
        <f aca="false">D33/C33-1</f>
        <v>0.128472222222222</v>
      </c>
      <c r="G33" s="25" t="n">
        <f aca="false">E33/D33-1</f>
        <v>-0.0723076923076923</v>
      </c>
      <c r="H33" s="35" t="n">
        <f aca="false">D33-C33</f>
        <v>6808</v>
      </c>
      <c r="I33" s="35" t="n">
        <f aca="false">E33-D33</f>
        <v>-4324</v>
      </c>
      <c r="J33" s="35" t="n">
        <f aca="false">C33/$C$8</f>
        <v>1709.41935483871</v>
      </c>
      <c r="K33" s="35" t="n">
        <f aca="false">D33/$C$9</f>
        <v>1993.33333333333</v>
      </c>
      <c r="L33" s="35" t="n">
        <f aca="false">E33/$C$10</f>
        <v>1789.54838709677</v>
      </c>
      <c r="M33" s="35" t="n">
        <f aca="false">L33-K33</f>
        <v>-203.784946236559</v>
      </c>
      <c r="N33" s="11"/>
      <c r="O33" s="11"/>
      <c r="P33" s="11"/>
      <c r="Q33" s="11"/>
      <c r="R33" s="11"/>
      <c r="S33" s="11"/>
      <c r="T33" s="11"/>
      <c r="U33" s="11"/>
    </row>
    <row r="34" customFormat="false" ht="19.5" hidden="false" customHeight="true" outlineLevel="0" collapsed="false">
      <c r="A34" s="11"/>
      <c r="B34" s="27" t="s">
        <v>53</v>
      </c>
      <c r="C34" s="36" t="n">
        <f aca="false">SUMPRODUCT(('📋 Raw Data'!$F$2:$F$514)*(YEAR('📋 Raw Data'!$A$2:$A$514)=2026)*(MONTH('📋 Raw Data'!$A$2:$A$514)=$C$11)*('📋 Raw Data'!$C$2:$C$514="Trabalhador"))</f>
        <v>60168</v>
      </c>
      <c r="D34" s="36" t="n">
        <f aca="false">SUMPRODUCT(('📋 Raw Data'!$F$2:$F$514)*(YEAR('📋 Raw Data'!$A$2:$A$514)=2026)*(MONTH('📋 Raw Data'!$A$2:$A$514)=$C$12)*('📋 Raw Data'!$C$2:$C$514="Trabalhador"))</f>
        <v>56488</v>
      </c>
      <c r="E34" s="36" t="n">
        <f aca="false">SUMPRODUCT(('📋 Raw Data'!$F$2:$F$514)*(YEAR('📋 Raw Data'!$A$2:$A$514)=2026)*(MONTH('📋 Raw Data'!$A$2:$A$514)=$C$13)*('📋 Raw Data'!$C$2:$C$514="Trabalhador"))</f>
        <v>44896</v>
      </c>
      <c r="F34" s="29" t="n">
        <f aca="false">D34/C34-1</f>
        <v>-0.0611620795107034</v>
      </c>
      <c r="G34" s="29" t="n">
        <f aca="false">E34/D34-1</f>
        <v>-0.205211726384365</v>
      </c>
      <c r="H34" s="37" t="n">
        <f aca="false">D34-C34</f>
        <v>-3680</v>
      </c>
      <c r="I34" s="37" t="n">
        <f aca="false">E34-D34</f>
        <v>-11592</v>
      </c>
      <c r="J34" s="37" t="n">
        <f aca="false">C34/$C$8</f>
        <v>1940.90322580645</v>
      </c>
      <c r="K34" s="37" t="n">
        <f aca="false">D34/$C$9</f>
        <v>1882.93333333333</v>
      </c>
      <c r="L34" s="37" t="n">
        <f aca="false">E34/$C$10</f>
        <v>1448.25806451613</v>
      </c>
      <c r="M34" s="37" t="n">
        <f aca="false">L34-K34</f>
        <v>-434.675268817204</v>
      </c>
      <c r="N34" s="11"/>
      <c r="O34" s="11"/>
      <c r="P34" s="11"/>
      <c r="Q34" s="11"/>
      <c r="R34" s="11"/>
      <c r="S34" s="11"/>
      <c r="T34" s="11"/>
      <c r="U34" s="11"/>
    </row>
    <row r="35" customFormat="false" ht="19.5" hidden="false" customHeight="true" outlineLevel="0" collapsed="false">
      <c r="A35" s="11"/>
      <c r="B35" s="31" t="s">
        <v>54</v>
      </c>
      <c r="C35" s="34" t="n">
        <f aca="false">SUMPRODUCT(('📋 Raw Data'!$F$2:$F$514)*(YEAR('📋 Raw Data'!$A$2:$A$514)=2026)*(MONTH('📋 Raw Data'!$A$2:$A$514)=$C$11)*('📋 Raw Data'!$C$2:$C$514="Turista"))</f>
        <v>64124</v>
      </c>
      <c r="D35" s="34" t="n">
        <f aca="false">SUMPRODUCT(('📋 Raw Data'!$F$2:$F$514)*(YEAR('📋 Raw Data'!$A$2:$A$514)=2026)*(MONTH('📋 Raw Data'!$A$2:$A$514)=$C$12)*('📋 Raw Data'!$C$2:$C$514="Turista"))</f>
        <v>58328</v>
      </c>
      <c r="E35" s="34" t="n">
        <f aca="false">SUMPRODUCT(('📋 Raw Data'!$F$2:$F$514)*(YEAR('📋 Raw Data'!$A$2:$A$514)=2026)*(MONTH('📋 Raw Data'!$A$2:$A$514)=$C$13)*('📋 Raw Data'!$C$2:$C$514="Turista"))</f>
        <v>66332</v>
      </c>
      <c r="F35" s="25" t="n">
        <f aca="false">D35/C35-1</f>
        <v>-0.0903873744619799</v>
      </c>
      <c r="G35" s="25" t="n">
        <f aca="false">E35/D35-1</f>
        <v>0.137223974763407</v>
      </c>
      <c r="H35" s="35" t="n">
        <f aca="false">D35-C35</f>
        <v>-5796</v>
      </c>
      <c r="I35" s="35" t="n">
        <f aca="false">E35-D35</f>
        <v>8004</v>
      </c>
      <c r="J35" s="35" t="n">
        <f aca="false">C35/$C$8</f>
        <v>2068.51612903226</v>
      </c>
      <c r="K35" s="35" t="n">
        <f aca="false">D35/$C$9</f>
        <v>1944.26666666667</v>
      </c>
      <c r="L35" s="35" t="n">
        <f aca="false">E35/$C$10</f>
        <v>2139.74193548387</v>
      </c>
      <c r="M35" s="35" t="n">
        <f aca="false">L35-K35</f>
        <v>195.475268817204</v>
      </c>
      <c r="N35" s="11"/>
      <c r="O35" s="11"/>
      <c r="P35" s="11"/>
      <c r="Q35" s="11"/>
      <c r="R35" s="11"/>
      <c r="S35" s="11"/>
      <c r="T35" s="11"/>
      <c r="U35" s="11"/>
    </row>
    <row r="36" customFormat="false" ht="7.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customFormat="false" ht="9.7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customFormat="false" ht="24" hidden="false" customHeight="true" outlineLevel="0" collapsed="false">
      <c r="A38" s="11"/>
      <c r="B38" s="14" t="s">
        <v>58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1"/>
      <c r="O38" s="11"/>
      <c r="P38" s="11"/>
      <c r="Q38" s="11"/>
      <c r="R38" s="11"/>
      <c r="S38" s="11"/>
      <c r="T38" s="11"/>
      <c r="U38" s="11"/>
    </row>
    <row r="39" customFormat="false" ht="19.5" hidden="false" customHeight="true" outlineLevel="0" collapsed="false">
      <c r="A39" s="11"/>
      <c r="B39" s="38" t="s">
        <v>59</v>
      </c>
      <c r="C39" s="39" t="s">
        <v>60</v>
      </c>
      <c r="D39" s="39"/>
      <c r="E39" s="39"/>
      <c r="F39" s="39"/>
      <c r="G39" s="39"/>
      <c r="H39" s="40" t="s">
        <v>61</v>
      </c>
      <c r="I39" s="40"/>
      <c r="J39" s="40"/>
      <c r="K39" s="40"/>
      <c r="L39" s="40"/>
      <c r="M39" s="40"/>
      <c r="N39" s="11"/>
      <c r="O39" s="11"/>
      <c r="P39" s="11"/>
      <c r="Q39" s="11"/>
      <c r="R39" s="11"/>
      <c r="S39" s="11"/>
      <c r="T39" s="11"/>
      <c r="U39" s="11"/>
    </row>
    <row r="40" customFormat="false" ht="19.5" hidden="false" customHeight="true" outlineLevel="0" collapsed="false">
      <c r="A40" s="11"/>
      <c r="B40" s="38" t="s">
        <v>62</v>
      </c>
      <c r="C40" s="39" t="s">
        <v>63</v>
      </c>
      <c r="D40" s="39"/>
      <c r="E40" s="39"/>
      <c r="F40" s="39"/>
      <c r="G40" s="39"/>
      <c r="H40" s="40" t="s">
        <v>64</v>
      </c>
      <c r="I40" s="40"/>
      <c r="J40" s="40"/>
      <c r="K40" s="40"/>
      <c r="L40" s="40"/>
      <c r="M40" s="40"/>
      <c r="N40" s="11"/>
      <c r="O40" s="11"/>
      <c r="P40" s="11"/>
      <c r="Q40" s="11"/>
      <c r="R40" s="11"/>
      <c r="S40" s="11"/>
      <c r="T40" s="11"/>
      <c r="U40" s="11"/>
    </row>
    <row r="41" customFormat="false" ht="19.5" hidden="false" customHeight="true" outlineLevel="0" collapsed="false">
      <c r="A41" s="11"/>
      <c r="B41" s="38" t="s">
        <v>65</v>
      </c>
      <c r="C41" s="39" t="s">
        <v>66</v>
      </c>
      <c r="D41" s="39"/>
      <c r="E41" s="39"/>
      <c r="F41" s="39"/>
      <c r="G41" s="39"/>
      <c r="H41" s="40" t="s">
        <v>67</v>
      </c>
      <c r="I41" s="40"/>
      <c r="J41" s="40"/>
      <c r="K41" s="40"/>
      <c r="L41" s="40"/>
      <c r="M41" s="40"/>
      <c r="N41" s="11"/>
      <c r="O41" s="11"/>
      <c r="P41" s="11"/>
      <c r="Q41" s="11"/>
      <c r="R41" s="11"/>
      <c r="S41" s="11"/>
      <c r="T41" s="11"/>
      <c r="U41" s="11"/>
    </row>
    <row r="42" customFormat="false" ht="19.5" hidden="false" customHeight="true" outlineLevel="0" collapsed="false">
      <c r="A42" s="11"/>
      <c r="B42" s="38" t="s">
        <v>68</v>
      </c>
      <c r="C42" s="39" t="s">
        <v>69</v>
      </c>
      <c r="D42" s="39"/>
      <c r="E42" s="39"/>
      <c r="F42" s="39"/>
      <c r="G42" s="39"/>
      <c r="H42" s="40" t="s">
        <v>70</v>
      </c>
      <c r="I42" s="40"/>
      <c r="J42" s="40"/>
      <c r="K42" s="40"/>
      <c r="L42" s="40"/>
      <c r="M42" s="40"/>
      <c r="N42" s="11"/>
      <c r="O42" s="11"/>
      <c r="P42" s="11"/>
      <c r="Q42" s="11"/>
      <c r="R42" s="11"/>
      <c r="S42" s="11"/>
      <c r="T42" s="11"/>
      <c r="U42" s="11"/>
    </row>
    <row r="43" customFormat="false" ht="19.5" hidden="false" customHeight="true" outlineLevel="0" collapsed="false">
      <c r="A43" s="11"/>
      <c r="B43" s="38" t="s">
        <v>71</v>
      </c>
      <c r="C43" s="39" t="s">
        <v>72</v>
      </c>
      <c r="D43" s="39"/>
      <c r="E43" s="39"/>
      <c r="F43" s="39"/>
      <c r="G43" s="39"/>
      <c r="H43" s="40" t="s">
        <v>73</v>
      </c>
      <c r="I43" s="40"/>
      <c r="J43" s="40"/>
      <c r="K43" s="40"/>
      <c r="L43" s="40"/>
      <c r="M43" s="40"/>
      <c r="N43" s="11"/>
      <c r="O43" s="11"/>
      <c r="P43" s="11"/>
      <c r="Q43" s="11"/>
      <c r="R43" s="11"/>
      <c r="S43" s="11"/>
      <c r="T43" s="11"/>
      <c r="U43" s="11"/>
    </row>
    <row r="44" customFormat="false" ht="19.5" hidden="false" customHeight="true" outlineLevel="0" collapsed="false">
      <c r="A44" s="11"/>
      <c r="B44" s="38" t="s">
        <v>74</v>
      </c>
      <c r="C44" s="39" t="s">
        <v>75</v>
      </c>
      <c r="D44" s="39"/>
      <c r="E44" s="39"/>
      <c r="F44" s="39"/>
      <c r="G44" s="39"/>
      <c r="H44" s="40" t="s">
        <v>76</v>
      </c>
      <c r="I44" s="40"/>
      <c r="J44" s="40"/>
      <c r="K44" s="40"/>
      <c r="L44" s="40"/>
      <c r="M44" s="40"/>
      <c r="N44" s="11"/>
      <c r="O44" s="11"/>
      <c r="P44" s="11"/>
      <c r="Q44" s="11"/>
      <c r="R44" s="11"/>
      <c r="S44" s="11"/>
      <c r="T44" s="11"/>
      <c r="U44" s="11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customFormat="false" ht="1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customFormat="false" ht="1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customFormat="false" ht="1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customFormat="false" ht="1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customFormat="false" ht="1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customFormat="false" ht="1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customFormat="false" ht="1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customFormat="false" ht="1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customFormat="false" ht="1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customFormat="false" ht="1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customFormat="false" ht="1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customFormat="false" ht="1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customFormat="false" ht="1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customFormat="false" ht="1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customFormat="false" ht="1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customFormat="false" ht="1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customFormat="false" ht="1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customFormat="false" ht="1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customFormat="false" ht="1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customFormat="false" ht="1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customFormat="false" ht="1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customFormat="false" ht="1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customFormat="false" ht="1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customFormat="false" ht="1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customFormat="false" ht="1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customFormat="false" ht="1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customFormat="false" ht="1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customFormat="false" ht="1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customFormat="false" ht="1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customFormat="false" ht="1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customFormat="false" ht="1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customFormat="false" ht="1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customFormat="false" ht="1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customFormat="false" ht="1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customFormat="false" ht="1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customFormat="false" ht="1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customFormat="false" ht="1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customFormat="false" ht="1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customFormat="false" ht="1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customFormat="false" ht="1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customFormat="false" ht="1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customFormat="false" ht="1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customFormat="false" ht="1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customFormat="false" ht="1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customFormat="false" ht="1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customFormat="false" ht="1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customFormat="false" ht="1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customFormat="false" ht="1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customFormat="false" ht="1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customFormat="false" ht="1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customFormat="false" ht="1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customFormat="false" ht="1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customFormat="false" ht="1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customFormat="false" ht="1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customFormat="false" ht="1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</sheetData>
  <mergeCells count="17">
    <mergeCell ref="B2:M2"/>
    <mergeCell ref="B4:M4"/>
    <mergeCell ref="B6:M6"/>
    <mergeCell ref="B15:M15"/>
    <mergeCell ref="B38:M38"/>
    <mergeCell ref="C39:G39"/>
    <mergeCell ref="H39:M39"/>
    <mergeCell ref="C40:G40"/>
    <mergeCell ref="H40:M40"/>
    <mergeCell ref="C41:G41"/>
    <mergeCell ref="H41:M41"/>
    <mergeCell ref="C42:G42"/>
    <mergeCell ref="H42:M42"/>
    <mergeCell ref="C43:G43"/>
    <mergeCell ref="H43:M43"/>
    <mergeCell ref="C44:G44"/>
    <mergeCell ref="H44:M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7" min="6" style="1" width="13"/>
    <col collapsed="false" customWidth="true" hidden="false" outlineLevel="0" max="9" min="8" style="1" width="14"/>
    <col collapsed="false" customWidth="true" hidden="false" outlineLevel="0" max="10" min="10" style="1" width="11"/>
  </cols>
  <sheetData>
    <row r="1" customFormat="false" ht="7.5" hidden="false" customHeight="true" outlineLevel="0" collapsed="false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customFormat="false" ht="36" hidden="false" customHeight="true" outlineLevel="0" collapsed="false">
      <c r="A2" s="11"/>
      <c r="B2" s="41" t="s">
        <v>77</v>
      </c>
      <c r="C2" s="41"/>
      <c r="D2" s="41"/>
      <c r="E2" s="41"/>
      <c r="F2" s="41"/>
      <c r="G2" s="41"/>
      <c r="H2" s="41"/>
      <c r="I2" s="41"/>
      <c r="J2" s="11"/>
      <c r="K2" s="11"/>
      <c r="L2" s="11"/>
      <c r="M2" s="11"/>
      <c r="N2" s="11"/>
      <c r="O2" s="11"/>
      <c r="P2" s="11"/>
      <c r="Q2" s="11"/>
    </row>
    <row r="3" customFormat="false" ht="7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customFormat="false" ht="24" hidden="false" customHeight="true" outlineLevel="0" collapsed="false">
      <c r="A4" s="11"/>
      <c r="B4" s="42" t="s">
        <v>78</v>
      </c>
      <c r="C4" s="42"/>
      <c r="D4" s="42"/>
      <c r="E4" s="42"/>
      <c r="F4" s="42"/>
      <c r="G4" s="42"/>
      <c r="H4" s="42"/>
      <c r="I4" s="42"/>
      <c r="J4" s="11"/>
      <c r="K4" s="11"/>
      <c r="L4" s="11"/>
      <c r="M4" s="11"/>
      <c r="N4" s="11"/>
      <c r="O4" s="11"/>
      <c r="P4" s="11"/>
      <c r="Q4" s="11"/>
    </row>
    <row r="5" customFormat="false" ht="31.5" hidden="false" customHeight="true" outlineLevel="0" collapsed="false">
      <c r="A5" s="11"/>
      <c r="B5" s="18" t="s">
        <v>3</v>
      </c>
      <c r="C5" s="18" t="s">
        <v>79</v>
      </c>
      <c r="D5" s="18" t="s">
        <v>80</v>
      </c>
      <c r="E5" s="18" t="s">
        <v>81</v>
      </c>
      <c r="F5" s="18" t="s">
        <v>82</v>
      </c>
      <c r="G5" s="18" t="s">
        <v>83</v>
      </c>
      <c r="H5" s="18" t="s">
        <v>84</v>
      </c>
      <c r="I5" s="18" t="s">
        <v>85</v>
      </c>
      <c r="J5" s="18" t="s">
        <v>86</v>
      </c>
      <c r="K5" s="11"/>
      <c r="L5" s="11"/>
      <c r="M5" s="11"/>
      <c r="N5" s="11"/>
      <c r="O5" s="11"/>
      <c r="P5" s="11"/>
      <c r="Q5" s="11"/>
    </row>
    <row r="6" customFormat="false" ht="21.75" hidden="false" customHeight="true" outlineLevel="0" collapsed="false">
      <c r="A6" s="11"/>
      <c r="B6" s="43" t="s">
        <v>18</v>
      </c>
      <c r="C6" s="24" t="n">
        <f aca="false">SUMPRODUCT(('📋 Raw Data'!$K$2:$K$514)*(YEAR('📋 Raw Data'!$A$2:$A$514)=2026)*(MONTH('📋 Raw Data'!$A$2:$A$514)=3)*('📋 Raw Data'!$D$2:$D$514="Machava - Marracuene"))</f>
        <v>1754900</v>
      </c>
      <c r="D6" s="24" t="n">
        <f aca="false">SUMPRODUCT(('📋 Raw Data'!$K$2:$K$514)*(YEAR('📋 Raw Data'!$A$2:$A$514)=2026)*(MONTH('📋 Raw Data'!$A$2:$A$514)=4)*('📋 Raw Data'!$D$2:$D$514="Machava - Marracuene"))</f>
        <v>1872660</v>
      </c>
      <c r="E6" s="24" t="n">
        <f aca="false">SUMPRODUCT(('📋 Raw Data'!$K$2:$K$514)*(YEAR('📋 Raw Data'!$A$2:$A$514)=2026)*(MONTH('📋 Raw Data'!$A$2:$A$514)=5)*('📋 Raw Data'!$D$2:$D$514="Machava - Marracuene"))</f>
        <v>1925100</v>
      </c>
      <c r="F6" s="25" t="n">
        <f aca="false">D6/C6-1</f>
        <v>0.0671035386631718</v>
      </c>
      <c r="G6" s="25" t="n">
        <f aca="false">E6/D6-1</f>
        <v>0.0280029476787029</v>
      </c>
      <c r="H6" s="26" t="n">
        <f aca="false">D6-C6</f>
        <v>117760</v>
      </c>
      <c r="I6" s="26" t="n">
        <f aca="false">E6-D6</f>
        <v>52440</v>
      </c>
      <c r="J6" s="25" t="n">
        <f aca="false">E6/$E$11</f>
        <v>0.200335088559119</v>
      </c>
      <c r="K6" s="11"/>
      <c r="L6" s="11"/>
      <c r="M6" s="11"/>
      <c r="N6" s="11"/>
      <c r="O6" s="11"/>
      <c r="P6" s="11"/>
      <c r="Q6" s="11"/>
    </row>
    <row r="7" customFormat="false" ht="21.75" hidden="false" customHeight="true" outlineLevel="0" collapsed="false">
      <c r="A7" s="11"/>
      <c r="B7" s="44" t="s">
        <v>19</v>
      </c>
      <c r="C7" s="28" t="n">
        <f aca="false">SUMPRODUCT(('📋 Raw Data'!$K$2:$K$514)*(YEAR('📋 Raw Data'!$A$2:$A$514)=2026)*(MONTH('📋 Raw Data'!$A$2:$A$514)=3)*('📋 Raw Data'!$D$2:$D$514="Maputo Centro - KaMavota"))</f>
        <v>2069080</v>
      </c>
      <c r="D7" s="28" t="n">
        <f aca="false">SUMPRODUCT(('📋 Raw Data'!$K$2:$K$514)*(YEAR('📋 Raw Data'!$A$2:$A$514)=2026)*(MONTH('📋 Raw Data'!$A$2:$A$514)=4)*('📋 Raw Data'!$D$2:$D$514="Maputo Centro - KaMavota"))</f>
        <v>3241620</v>
      </c>
      <c r="E7" s="28" t="n">
        <f aca="false">SUMPRODUCT(('📋 Raw Data'!$K$2:$K$514)*(YEAR('📋 Raw Data'!$A$2:$A$514)=2026)*(MONTH('📋 Raw Data'!$A$2:$A$514)=5)*('📋 Raw Data'!$D$2:$D$514="Maputo Centro - KaMavota"))</f>
        <v>1742020</v>
      </c>
      <c r="F7" s="29" t="n">
        <f aca="false">D7/C7-1</f>
        <v>0.566696309470876</v>
      </c>
      <c r="G7" s="29" t="n">
        <f aca="false">E7/D7-1</f>
        <v>-0.462608202071804</v>
      </c>
      <c r="H7" s="30" t="n">
        <f aca="false">D7-C7</f>
        <v>1172540</v>
      </c>
      <c r="I7" s="30" t="n">
        <f aca="false">E7-D7</f>
        <v>-1499600</v>
      </c>
      <c r="J7" s="29" t="n">
        <f aca="false">E7/$E$11</f>
        <v>0.181282910483485</v>
      </c>
      <c r="K7" s="11"/>
      <c r="L7" s="11"/>
      <c r="M7" s="11"/>
      <c r="N7" s="11"/>
      <c r="O7" s="11"/>
      <c r="P7" s="11"/>
      <c r="Q7" s="11"/>
    </row>
    <row r="8" customFormat="false" ht="21.75" hidden="false" customHeight="true" outlineLevel="0" collapsed="false">
      <c r="A8" s="11"/>
      <c r="B8" s="45" t="s">
        <v>21</v>
      </c>
      <c r="C8" s="24" t="n">
        <f aca="false">SUMPRODUCT(('📋 Raw Data'!$K$2:$K$514)*(YEAR('📋 Raw Data'!$A$2:$A$514)=2026)*(MONTH('📋 Raw Data'!$A$2:$A$514)=3)*('📋 Raw Data'!$D$2:$D$514="Maputo Centro - Machava"))</f>
        <v>1552500</v>
      </c>
      <c r="D8" s="24" t="n">
        <f aca="false">SUMPRODUCT(('📋 Raw Data'!$K$2:$K$514)*(YEAR('📋 Raw Data'!$A$2:$A$514)=2026)*(MONTH('📋 Raw Data'!$A$2:$A$514)=4)*('📋 Raw Data'!$D$2:$D$514="Maputo Centro - Machava"))</f>
        <v>2281600</v>
      </c>
      <c r="E8" s="24" t="n">
        <f aca="false">SUMPRODUCT(('📋 Raw Data'!$K$2:$K$514)*(YEAR('📋 Raw Data'!$A$2:$A$514)=2026)*(MONTH('📋 Raw Data'!$A$2:$A$514)=5)*('📋 Raw Data'!$D$2:$D$514="Maputo Centro - Machava"))</f>
        <v>2110940</v>
      </c>
      <c r="F8" s="25" t="n">
        <f aca="false">D8/C8-1</f>
        <v>0.46962962962963</v>
      </c>
      <c r="G8" s="25" t="n">
        <f aca="false">E8/D8-1</f>
        <v>-0.0747983870967742</v>
      </c>
      <c r="H8" s="26" t="n">
        <f aca="false">D8-C8</f>
        <v>729100</v>
      </c>
      <c r="I8" s="26" t="n">
        <f aca="false">E8-D8</f>
        <v>-170660</v>
      </c>
      <c r="J8" s="25" t="n">
        <f aca="false">E8/$E$11</f>
        <v>0.219674485399713</v>
      </c>
      <c r="K8" s="11"/>
      <c r="L8" s="11"/>
      <c r="M8" s="11"/>
      <c r="N8" s="11"/>
      <c r="O8" s="11"/>
      <c r="P8" s="11"/>
      <c r="Q8" s="11"/>
    </row>
    <row r="9" customFormat="false" ht="21.75" hidden="false" customHeight="true" outlineLevel="0" collapsed="false">
      <c r="A9" s="11"/>
      <c r="B9" s="46" t="s">
        <v>12</v>
      </c>
      <c r="C9" s="28" t="n">
        <f aca="false">SUMPRODUCT(('📋 Raw Data'!$K$2:$K$514)*(YEAR('📋 Raw Data'!$A$2:$A$514)=2026)*(MONTH('📋 Raw Data'!$A$2:$A$514)=3)*('📋 Raw Data'!$D$2:$D$514="Maputo Centro - Matola"))</f>
        <v>1937060</v>
      </c>
      <c r="D9" s="28" t="n">
        <f aca="false">SUMPRODUCT(('📋 Raw Data'!$K$2:$K$514)*(YEAR('📋 Raw Data'!$A$2:$A$514)=2026)*(MONTH('📋 Raw Data'!$A$2:$A$514)=4)*('📋 Raw Data'!$D$2:$D$514="Maputo Centro - Matola"))</f>
        <v>1413580</v>
      </c>
      <c r="E9" s="28" t="n">
        <f aca="false">SUMPRODUCT(('📋 Raw Data'!$K$2:$K$514)*(YEAR('📋 Raw Data'!$A$2:$A$514)=2026)*(MONTH('📋 Raw Data'!$A$2:$A$514)=5)*('📋 Raw Data'!$D$2:$D$514="Maputo Centro - Matola"))</f>
        <v>2113700</v>
      </c>
      <c r="F9" s="29" t="n">
        <f aca="false">D9/C9-1</f>
        <v>-0.270244597482783</v>
      </c>
      <c r="G9" s="29" t="n">
        <f aca="false">E9/D9-1</f>
        <v>0.495281483891962</v>
      </c>
      <c r="H9" s="30" t="n">
        <f aca="false">D9-C9</f>
        <v>-523480</v>
      </c>
      <c r="I9" s="30" t="n">
        <f aca="false">E9-D9</f>
        <v>700120</v>
      </c>
      <c r="J9" s="29" t="n">
        <f aca="false">E9/$E$11</f>
        <v>0.219961704164672</v>
      </c>
      <c r="K9" s="11"/>
      <c r="L9" s="11"/>
      <c r="M9" s="11"/>
      <c r="N9" s="11"/>
      <c r="O9" s="11"/>
      <c r="P9" s="11"/>
      <c r="Q9" s="11"/>
    </row>
    <row r="10" customFormat="false" ht="21.75" hidden="false" customHeight="true" outlineLevel="0" collapsed="false">
      <c r="A10" s="11"/>
      <c r="B10" s="47" t="s">
        <v>15</v>
      </c>
      <c r="C10" s="24" t="n">
        <f aca="false">SUMPRODUCT(('📋 Raw Data'!$K$2:$K$514)*(YEAR('📋 Raw Data'!$A$2:$A$514)=2026)*(MONTH('📋 Raw Data'!$A$2:$A$514)=3)*('📋 Raw Data'!$D$2:$D$514="Matola - Boane"))</f>
        <v>3084300</v>
      </c>
      <c r="D10" s="24" t="n">
        <f aca="false">SUMPRODUCT(('📋 Raw Data'!$K$2:$K$514)*(YEAR('📋 Raw Data'!$A$2:$A$514)=2026)*(MONTH('📋 Raw Data'!$A$2:$A$514)=4)*('📋 Raw Data'!$D$2:$D$514="Matola - Boane"))</f>
        <v>1280180</v>
      </c>
      <c r="E10" s="24" t="n">
        <f aca="false">SUMPRODUCT(('📋 Raw Data'!$K$2:$K$514)*(YEAR('📋 Raw Data'!$A$2:$A$514)=2026)*(MONTH('📋 Raw Data'!$A$2:$A$514)=5)*('📋 Raw Data'!$D$2:$D$514="Matola - Boane"))</f>
        <v>1717640</v>
      </c>
      <c r="F10" s="25" t="n">
        <f aca="false">D10/C10-1</f>
        <v>-0.584936614466816</v>
      </c>
      <c r="G10" s="25" t="n">
        <f aca="false">E10/D10-1</f>
        <v>0.341717570966583</v>
      </c>
      <c r="H10" s="26" t="n">
        <f aca="false">D10-C10</f>
        <v>-1804120</v>
      </c>
      <c r="I10" s="26" t="n">
        <f aca="false">E10-D10</f>
        <v>437460</v>
      </c>
      <c r="J10" s="25" t="n">
        <f aca="false">E10/$E$11</f>
        <v>0.178745811393011</v>
      </c>
      <c r="K10" s="11"/>
      <c r="L10" s="11"/>
      <c r="M10" s="11"/>
      <c r="N10" s="11"/>
      <c r="O10" s="11"/>
      <c r="P10" s="11"/>
      <c r="Q10" s="11"/>
    </row>
    <row r="11" customFormat="false" ht="21.75" hidden="false" customHeight="true" outlineLevel="0" collapsed="false">
      <c r="A11" s="11"/>
      <c r="B11" s="48" t="s">
        <v>87</v>
      </c>
      <c r="C11" s="22" t="n">
        <f aca="false">SUM(C6:C10)</f>
        <v>10397840</v>
      </c>
      <c r="D11" s="22" t="n">
        <f aca="false">SUM(D6:D10)</f>
        <v>10089640</v>
      </c>
      <c r="E11" s="22" t="n">
        <f aca="false">SUM(E6:E10)</f>
        <v>9609400</v>
      </c>
      <c r="F11" s="21" t="n">
        <f aca="false">D11/C11-1</f>
        <v>-0.0296407715448593</v>
      </c>
      <c r="G11" s="21" t="n">
        <f aca="false">E11/D11-1</f>
        <v>-0.0475973374669463</v>
      </c>
      <c r="H11" s="22" t="n">
        <f aca="false">D11-C11</f>
        <v>-308200</v>
      </c>
      <c r="I11" s="22" t="n">
        <f aca="false">E11-D11</f>
        <v>-480240</v>
      </c>
      <c r="J11" s="11"/>
      <c r="K11" s="11"/>
      <c r="L11" s="11"/>
      <c r="M11" s="11"/>
      <c r="N11" s="11"/>
      <c r="O11" s="11"/>
      <c r="P11" s="11"/>
      <c r="Q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</sheetData>
  <mergeCells count="2">
    <mergeCell ref="B2:I2"/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S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2"/>
  </cols>
  <sheetData>
    <row r="1" customFormat="false" ht="36" hidden="false" customHeight="true" outlineLevel="0" collapsed="false">
      <c r="A1" s="11"/>
      <c r="B1" s="41" t="s">
        <v>88</v>
      </c>
      <c r="C1" s="41"/>
      <c r="D1" s="41"/>
      <c r="E1" s="41"/>
      <c r="F1" s="41"/>
      <c r="G1" s="4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7.75" hidden="false" customHeight="true" outlineLevel="0" collapsed="false">
      <c r="A2" s="11"/>
      <c r="B2" s="2" t="s">
        <v>0</v>
      </c>
      <c r="C2" s="2" t="s">
        <v>1</v>
      </c>
      <c r="D2" s="2" t="s">
        <v>10</v>
      </c>
      <c r="E2" s="2" t="s">
        <v>7</v>
      </c>
      <c r="F2" s="2" t="s">
        <v>8</v>
      </c>
      <c r="G2" s="2" t="s">
        <v>5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5.75" hidden="false" customHeight="true" outlineLevel="0" collapsed="false">
      <c r="A3" s="11"/>
      <c r="B3" s="49" t="n">
        <v>46082</v>
      </c>
      <c r="C3" s="50" t="str">
        <f aca="false">TEXT(B3,"MMM")</f>
        <v>Mar</v>
      </c>
      <c r="D3" s="51" t="n">
        <f aca="false">SUMPRODUCT(('📋 Raw Data'!$K$2:$K$514)*(('📋 Raw Data'!$A$2:$A$514)=B3))</f>
        <v>457700</v>
      </c>
      <c r="E3" s="52" t="n">
        <f aca="false">SUMPRODUCT(('📋 Raw Data'!$H$2:$H$514)*(('📋 Raw Data'!$A$2:$A$514)=B3))</f>
        <v>6164</v>
      </c>
      <c r="F3" s="52" t="n">
        <f aca="false">SUMPRODUCT(('📋 Raw Data'!$I$2:$I$514)*(('📋 Raw Data'!$A$2:$A$514)=B3))</f>
        <v>237268</v>
      </c>
      <c r="G3" s="52" t="n">
        <f aca="false">SUMPRODUCT(('📋 Raw Data'!$F$2:$F$514)*(('📋 Raw Data'!$A$2:$A$514)=B3))</f>
        <v>5796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customFormat="false" ht="15.75" hidden="false" customHeight="true" outlineLevel="0" collapsed="false">
      <c r="A4" s="11"/>
      <c r="B4" s="49" t="n">
        <v>46083</v>
      </c>
      <c r="C4" s="50" t="str">
        <f aca="false">TEXT(B4,"MMM")</f>
        <v>Mar</v>
      </c>
      <c r="D4" s="51" t="n">
        <f aca="false">SUMPRODUCT(('📋 Raw Data'!$K$2:$K$514)*(('📋 Raw Data'!$A$2:$A$514)=B4))</f>
        <v>335800</v>
      </c>
      <c r="E4" s="52" t="n">
        <f aca="false">SUMPRODUCT(('📋 Raw Data'!$H$2:$H$514)*(('📋 Raw Data'!$A$2:$A$514)=B4))</f>
        <v>7360</v>
      </c>
      <c r="F4" s="52" t="n">
        <f aca="false">SUMPRODUCT(('📋 Raw Data'!$I$2:$I$514)*(('📋 Raw Data'!$A$2:$A$514)=B4))</f>
        <v>154376</v>
      </c>
      <c r="G4" s="52" t="n">
        <f aca="false">SUMPRODUCT(('📋 Raw Data'!$F$2:$F$514)*(('📋 Raw Data'!$A$2:$A$514)=B4))</f>
        <v>5704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customFormat="false" ht="15.75" hidden="false" customHeight="true" outlineLevel="0" collapsed="false">
      <c r="A5" s="11"/>
      <c r="B5" s="49" t="n">
        <v>46084</v>
      </c>
      <c r="C5" s="50" t="str">
        <f aca="false">TEXT(B5,"MMM")</f>
        <v>Mar</v>
      </c>
      <c r="D5" s="51" t="n">
        <f aca="false">SUMPRODUCT(('📋 Raw Data'!$K$2:$K$514)*(('📋 Raw Data'!$A$2:$A$514)=B5))</f>
        <v>340400</v>
      </c>
      <c r="E5" s="52" t="n">
        <f aca="false">SUMPRODUCT(('📋 Raw Data'!$H$2:$H$514)*(('📋 Raw Data'!$A$2:$A$514)=B5))</f>
        <v>6900</v>
      </c>
      <c r="F5" s="52" t="n">
        <f aca="false">SUMPRODUCT(('📋 Raw Data'!$I$2:$I$514)*(('📋 Raw Data'!$A$2:$A$514)=B5))</f>
        <v>261924</v>
      </c>
      <c r="G5" s="52" t="n">
        <f aca="false">SUMPRODUCT(('📋 Raw Data'!$F$2:$F$514)*(('📋 Raw Data'!$A$2:$A$514)=B5))</f>
        <v>4048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customFormat="false" ht="15.75" hidden="false" customHeight="true" outlineLevel="0" collapsed="false">
      <c r="A6" s="11"/>
      <c r="B6" s="49" t="n">
        <v>46085</v>
      </c>
      <c r="C6" s="50" t="str">
        <f aca="false">TEXT(B6,"MMM")</f>
        <v>Mar</v>
      </c>
      <c r="D6" s="51" t="n">
        <f aca="false">SUMPRODUCT(('📋 Raw Data'!$K$2:$K$514)*(('📋 Raw Data'!$A$2:$A$514)=B6))</f>
        <v>330740</v>
      </c>
      <c r="E6" s="52" t="n">
        <f aca="false">SUMPRODUCT(('📋 Raw Data'!$H$2:$H$514)*(('📋 Raw Data'!$A$2:$A$514)=B6))</f>
        <v>8280</v>
      </c>
      <c r="F6" s="52" t="n">
        <f aca="false">SUMPRODUCT(('📋 Raw Data'!$I$2:$I$514)*(('📋 Raw Data'!$A$2:$A$514)=B6))</f>
        <v>245364</v>
      </c>
      <c r="G6" s="52" t="n">
        <f aca="false">SUMPRODUCT(('📋 Raw Data'!$F$2:$F$514)*(('📋 Raw Data'!$A$2:$A$514)=B6))</f>
        <v>6164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customFormat="false" ht="15.75" hidden="false" customHeight="true" outlineLevel="0" collapsed="false">
      <c r="A7" s="11"/>
      <c r="B7" s="49" t="n">
        <v>46086</v>
      </c>
      <c r="C7" s="50" t="str">
        <f aca="false">TEXT(B7,"MMM")</f>
        <v>Mar</v>
      </c>
      <c r="D7" s="51" t="n">
        <f aca="false">SUMPRODUCT(('📋 Raw Data'!$K$2:$K$514)*(('📋 Raw Data'!$A$2:$A$514)=B7))</f>
        <v>270480</v>
      </c>
      <c r="E7" s="52" t="n">
        <f aca="false">SUMPRODUCT(('📋 Raw Data'!$H$2:$H$514)*(('📋 Raw Data'!$A$2:$A$514)=B7))</f>
        <v>5796</v>
      </c>
      <c r="F7" s="52" t="n">
        <f aca="false">SUMPRODUCT(('📋 Raw Data'!$I$2:$I$514)*(('📋 Raw Data'!$A$2:$A$514)=B7))</f>
        <v>155296</v>
      </c>
      <c r="G7" s="52" t="n">
        <f aca="false">SUMPRODUCT(('📋 Raw Data'!$F$2:$F$514)*(('📋 Raw Data'!$A$2:$A$514)=B7))</f>
        <v>4876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customFormat="false" ht="15.75" hidden="false" customHeight="true" outlineLevel="0" collapsed="false">
      <c r="A8" s="11"/>
      <c r="B8" s="49" t="n">
        <v>46087</v>
      </c>
      <c r="C8" s="50" t="str">
        <f aca="false">TEXT(B8,"MMM")</f>
        <v>Mar</v>
      </c>
      <c r="D8" s="51" t="n">
        <f aca="false">SUMPRODUCT(('📋 Raw Data'!$K$2:$K$514)*(('📋 Raw Data'!$A$2:$A$514)=B8))</f>
        <v>202400</v>
      </c>
      <c r="E8" s="52" t="n">
        <f aca="false">SUMPRODUCT(('📋 Raw Data'!$H$2:$H$514)*(('📋 Raw Data'!$A$2:$A$514)=B8))</f>
        <v>4784</v>
      </c>
      <c r="F8" s="52" t="n">
        <f aca="false">SUMPRODUCT(('📋 Raw Data'!$I$2:$I$514)*(('📋 Raw Data'!$A$2:$A$514)=B8))</f>
        <v>152812</v>
      </c>
      <c r="G8" s="52" t="n">
        <f aca="false">SUMPRODUCT(('📋 Raw Data'!$F$2:$F$514)*(('📋 Raw Data'!$A$2:$A$514)=B8))</f>
        <v>5060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customFormat="false" ht="15.75" hidden="false" customHeight="true" outlineLevel="0" collapsed="false">
      <c r="A9" s="11"/>
      <c r="B9" s="49" t="n">
        <v>46088</v>
      </c>
      <c r="C9" s="50" t="str">
        <f aca="false">TEXT(B9,"MMM")</f>
        <v>Mar</v>
      </c>
      <c r="D9" s="51" t="n">
        <f aca="false">SUMPRODUCT(('📋 Raw Data'!$K$2:$K$514)*(('📋 Raw Data'!$A$2:$A$514)=B9))</f>
        <v>356040</v>
      </c>
      <c r="E9" s="52" t="n">
        <f aca="false">SUMPRODUCT(('📋 Raw Data'!$H$2:$H$514)*(('📋 Raw Data'!$A$2:$A$514)=B9))</f>
        <v>5244</v>
      </c>
      <c r="F9" s="52" t="n">
        <f aca="false">SUMPRODUCT(('📋 Raw Data'!$I$2:$I$514)*(('📋 Raw Data'!$A$2:$A$514)=B9))</f>
        <v>176732</v>
      </c>
      <c r="G9" s="52" t="n">
        <f aca="false">SUMPRODUCT(('📋 Raw Data'!$F$2:$F$514)*(('📋 Raw Data'!$A$2:$A$514)=B9))</f>
        <v>6624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customFormat="false" ht="15.75" hidden="false" customHeight="true" outlineLevel="0" collapsed="false">
      <c r="A10" s="11"/>
      <c r="B10" s="49" t="n">
        <v>46089</v>
      </c>
      <c r="C10" s="50" t="str">
        <f aca="false">TEXT(B10,"MMM")</f>
        <v>Mar</v>
      </c>
      <c r="D10" s="51" t="n">
        <f aca="false">SUMPRODUCT(('📋 Raw Data'!$K$2:$K$514)*(('📋 Raw Data'!$A$2:$A$514)=B10))</f>
        <v>402040</v>
      </c>
      <c r="E10" s="52" t="n">
        <f aca="false">SUMPRODUCT(('📋 Raw Data'!$H$2:$H$514)*(('📋 Raw Data'!$A$2:$A$514)=B10))</f>
        <v>6532</v>
      </c>
      <c r="F10" s="52" t="n">
        <f aca="false">SUMPRODUCT(('📋 Raw Data'!$I$2:$I$514)*(('📋 Raw Data'!$A$2:$A$514)=B10))</f>
        <v>220800</v>
      </c>
      <c r="G10" s="52" t="n">
        <f aca="false">SUMPRODUCT(('📋 Raw Data'!$F$2:$F$514)*(('📋 Raw Data'!$A$2:$A$514)=B10))</f>
        <v>5612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customFormat="false" ht="15.75" hidden="false" customHeight="true" outlineLevel="0" collapsed="false">
      <c r="A11" s="11"/>
      <c r="B11" s="49" t="n">
        <v>46090</v>
      </c>
      <c r="C11" s="50" t="str">
        <f aca="false">TEXT(B11,"MMM")</f>
        <v>Mar</v>
      </c>
      <c r="D11" s="51" t="n">
        <f aca="false">SUMPRODUCT(('📋 Raw Data'!$K$2:$K$514)*(('📋 Raw Data'!$A$2:$A$514)=B11))</f>
        <v>571780</v>
      </c>
      <c r="E11" s="52" t="n">
        <f aca="false">SUMPRODUCT(('📋 Raw Data'!$H$2:$H$514)*(('📋 Raw Data'!$A$2:$A$514)=B11))</f>
        <v>4692</v>
      </c>
      <c r="F11" s="52" t="n">
        <f aca="false">SUMPRODUCT(('📋 Raw Data'!$I$2:$I$514)*(('📋 Raw Data'!$A$2:$A$514)=B11))</f>
        <v>127144</v>
      </c>
      <c r="G11" s="52" t="n">
        <f aca="false">SUMPRODUCT(('📋 Raw Data'!$F$2:$F$514)*(('📋 Raw Data'!$A$2:$A$514)=B11))</f>
        <v>8004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customFormat="false" ht="15.75" hidden="false" customHeight="true" outlineLevel="0" collapsed="false">
      <c r="A12" s="11"/>
      <c r="B12" s="49" t="n">
        <v>46091</v>
      </c>
      <c r="C12" s="50" t="str">
        <f aca="false">TEXT(B12,"MMM")</f>
        <v>Mar</v>
      </c>
      <c r="D12" s="51" t="n">
        <f aca="false">SUMPRODUCT(('📋 Raw Data'!$K$2:$K$514)*(('📋 Raw Data'!$A$2:$A$514)=B12))</f>
        <v>312800</v>
      </c>
      <c r="E12" s="52" t="n">
        <f aca="false">SUMPRODUCT(('📋 Raw Data'!$H$2:$H$514)*(('📋 Raw Data'!$A$2:$A$514)=B12))</f>
        <v>4416</v>
      </c>
      <c r="F12" s="52" t="n">
        <f aca="false">SUMPRODUCT(('📋 Raw Data'!$I$2:$I$514)*(('📋 Raw Data'!$A$2:$A$514)=B12))</f>
        <v>132664</v>
      </c>
      <c r="G12" s="52" t="n">
        <f aca="false">SUMPRODUCT(('📋 Raw Data'!$F$2:$F$514)*(('📋 Raw Data'!$A$2:$A$514)=B12))</f>
        <v>3772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customFormat="false" ht="15.75" hidden="false" customHeight="true" outlineLevel="0" collapsed="false">
      <c r="A13" s="11"/>
      <c r="B13" s="49" t="n">
        <v>46092</v>
      </c>
      <c r="C13" s="50" t="str">
        <f aca="false">TEXT(B13,"MMM")</f>
        <v>Mar</v>
      </c>
      <c r="D13" s="51" t="n">
        <f aca="false">SUMPRODUCT(('📋 Raw Data'!$K$2:$K$514)*(('📋 Raw Data'!$A$2:$A$514)=B13))</f>
        <v>324300</v>
      </c>
      <c r="E13" s="52" t="n">
        <f aca="false">SUMPRODUCT(('📋 Raw Data'!$H$2:$H$514)*(('📋 Raw Data'!$A$2:$A$514)=B13))</f>
        <v>6256</v>
      </c>
      <c r="F13" s="52" t="n">
        <f aca="false">SUMPRODUCT(('📋 Raw Data'!$I$2:$I$514)*(('📋 Raw Data'!$A$2:$A$514)=B13))</f>
        <v>84640</v>
      </c>
      <c r="G13" s="52" t="n">
        <f aca="false">SUMPRODUCT(('📋 Raw Data'!$F$2:$F$514)*(('📋 Raw Data'!$A$2:$A$514)=B13))</f>
        <v>7452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customFormat="false" ht="15.75" hidden="false" customHeight="true" outlineLevel="0" collapsed="false">
      <c r="A14" s="11"/>
      <c r="B14" s="49" t="n">
        <v>46093</v>
      </c>
      <c r="C14" s="50" t="str">
        <f aca="false">TEXT(B14,"MMM")</f>
        <v>Mar</v>
      </c>
      <c r="D14" s="51" t="n">
        <f aca="false">SUMPRODUCT(('📋 Raw Data'!$K$2:$K$514)*(('📋 Raw Data'!$A$2:$A$514)=B14))</f>
        <v>415380</v>
      </c>
      <c r="E14" s="52" t="n">
        <f aca="false">SUMPRODUCT(('📋 Raw Data'!$H$2:$H$514)*(('📋 Raw Data'!$A$2:$A$514)=B14))</f>
        <v>5796</v>
      </c>
      <c r="F14" s="52" t="n">
        <f aca="false">SUMPRODUCT(('📋 Raw Data'!$I$2:$I$514)*(('📋 Raw Data'!$A$2:$A$514)=B14))</f>
        <v>116196</v>
      </c>
      <c r="G14" s="52" t="n">
        <f aca="false">SUMPRODUCT(('📋 Raw Data'!$F$2:$F$514)*(('📋 Raw Data'!$A$2:$A$514)=B14))</f>
        <v>6716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customFormat="false" ht="15.75" hidden="false" customHeight="true" outlineLevel="0" collapsed="false">
      <c r="A15" s="11"/>
      <c r="B15" s="49" t="n">
        <v>46094</v>
      </c>
      <c r="C15" s="50" t="str">
        <f aca="false">TEXT(B15,"MMM")</f>
        <v>Mar</v>
      </c>
      <c r="D15" s="51" t="n">
        <f aca="false">SUMPRODUCT(('📋 Raw Data'!$K$2:$K$514)*(('📋 Raw Data'!$A$2:$A$514)=B15))</f>
        <v>146280</v>
      </c>
      <c r="E15" s="52" t="n">
        <f aca="false">SUMPRODUCT(('📋 Raw Data'!$H$2:$H$514)*(('📋 Raw Data'!$A$2:$A$514)=B15))</f>
        <v>5244</v>
      </c>
      <c r="F15" s="52" t="n">
        <f aca="false">SUMPRODUCT(('📋 Raw Data'!$I$2:$I$514)*(('📋 Raw Data'!$A$2:$A$514)=B15))</f>
        <v>86940</v>
      </c>
      <c r="G15" s="52" t="n">
        <f aca="false">SUMPRODUCT(('📋 Raw Data'!$F$2:$F$514)*(('📋 Raw Data'!$A$2:$A$514)=B15))</f>
        <v>2852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customFormat="false" ht="15.75" hidden="false" customHeight="true" outlineLevel="0" collapsed="false">
      <c r="A16" s="11"/>
      <c r="B16" s="49" t="n">
        <v>46095</v>
      </c>
      <c r="C16" s="50" t="str">
        <f aca="false">TEXT(B16,"MMM")</f>
        <v>Mar</v>
      </c>
      <c r="D16" s="51" t="n">
        <f aca="false">SUMPRODUCT(('📋 Raw Data'!$K$2:$K$514)*(('📋 Raw Data'!$A$2:$A$514)=B16))</f>
        <v>240580</v>
      </c>
      <c r="E16" s="52" t="n">
        <f aca="false">SUMPRODUCT(('📋 Raw Data'!$H$2:$H$514)*(('📋 Raw Data'!$A$2:$A$514)=B16))</f>
        <v>4048</v>
      </c>
      <c r="F16" s="52" t="n">
        <f aca="false">SUMPRODUCT(('📋 Raw Data'!$I$2:$I$514)*(('📋 Raw Data'!$A$2:$A$514)=B16))</f>
        <v>51704</v>
      </c>
      <c r="G16" s="52" t="n">
        <f aca="false">SUMPRODUCT(('📋 Raw Data'!$F$2:$F$514)*(('📋 Raw Data'!$A$2:$A$514)=B16))</f>
        <v>5060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customFormat="false" ht="15.75" hidden="false" customHeight="true" outlineLevel="0" collapsed="false">
      <c r="A17" s="11"/>
      <c r="B17" s="49" t="n">
        <v>46096</v>
      </c>
      <c r="C17" s="50" t="str">
        <f aca="false">TEXT(B17,"MMM")</f>
        <v>Mar</v>
      </c>
      <c r="D17" s="51" t="n">
        <f aca="false">SUMPRODUCT(('📋 Raw Data'!$K$2:$K$514)*(('📋 Raw Data'!$A$2:$A$514)=B17))</f>
        <v>326600</v>
      </c>
      <c r="E17" s="52" t="n">
        <f aca="false">SUMPRODUCT(('📋 Raw Data'!$H$2:$H$514)*(('📋 Raw Data'!$A$2:$A$514)=B17))</f>
        <v>5980</v>
      </c>
      <c r="F17" s="52" t="n">
        <f aca="false">SUMPRODUCT(('📋 Raw Data'!$I$2:$I$514)*(('📋 Raw Data'!$A$2:$A$514)=B17))</f>
        <v>176548</v>
      </c>
      <c r="G17" s="52" t="n">
        <f aca="false">SUMPRODUCT(('📋 Raw Data'!$F$2:$F$514)*(('📋 Raw Data'!$A$2:$A$514)=B17))</f>
        <v>4876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customFormat="false" ht="15.75" hidden="false" customHeight="true" outlineLevel="0" collapsed="false">
      <c r="A18" s="11"/>
      <c r="B18" s="49" t="n">
        <v>46097</v>
      </c>
      <c r="C18" s="50" t="str">
        <f aca="false">TEXT(B18,"MMM")</f>
        <v>Mar</v>
      </c>
      <c r="D18" s="51" t="n">
        <f aca="false">SUMPRODUCT(('📋 Raw Data'!$K$2:$K$514)*(('📋 Raw Data'!$A$2:$A$514)=B18))</f>
        <v>159160</v>
      </c>
      <c r="E18" s="52" t="n">
        <f aca="false">SUMPRODUCT(('📋 Raw Data'!$H$2:$H$514)*(('📋 Raw Data'!$A$2:$A$514)=B18))</f>
        <v>5704</v>
      </c>
      <c r="F18" s="52" t="n">
        <f aca="false">SUMPRODUCT(('📋 Raw Data'!$I$2:$I$514)*(('📋 Raw Data'!$A$2:$A$514)=B18))</f>
        <v>124752</v>
      </c>
      <c r="G18" s="52" t="n">
        <f aca="false">SUMPRODUCT(('📋 Raw Data'!$F$2:$F$514)*(('📋 Raw Data'!$A$2:$A$514)=B18))</f>
        <v>2944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customFormat="false" ht="15.75" hidden="false" customHeight="true" outlineLevel="0" collapsed="false">
      <c r="A19" s="11"/>
      <c r="B19" s="49" t="n">
        <v>46098</v>
      </c>
      <c r="C19" s="50" t="str">
        <f aca="false">TEXT(B19,"MMM")</f>
        <v>Mar</v>
      </c>
      <c r="D19" s="51" t="n">
        <f aca="false">SUMPRODUCT(('📋 Raw Data'!$K$2:$K$514)*(('📋 Raw Data'!$A$2:$A$514)=B19))</f>
        <v>365700</v>
      </c>
      <c r="E19" s="52" t="n">
        <f aca="false">SUMPRODUCT(('📋 Raw Data'!$H$2:$H$514)*(('📋 Raw Data'!$A$2:$A$514)=B19))</f>
        <v>4784</v>
      </c>
      <c r="F19" s="52" t="n">
        <f aca="false">SUMPRODUCT(('📋 Raw Data'!$I$2:$I$514)*(('📋 Raw Data'!$A$2:$A$514)=B19))</f>
        <v>57776</v>
      </c>
      <c r="G19" s="52" t="n">
        <f aca="false">SUMPRODUCT(('📋 Raw Data'!$F$2:$F$514)*(('📋 Raw Data'!$A$2:$A$514)=B19))</f>
        <v>5152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customFormat="false" ht="15.75" hidden="false" customHeight="true" outlineLevel="0" collapsed="false">
      <c r="A20" s="11"/>
      <c r="B20" s="49" t="n">
        <v>46099</v>
      </c>
      <c r="C20" s="50" t="str">
        <f aca="false">TEXT(B20,"MMM")</f>
        <v>Mar</v>
      </c>
      <c r="D20" s="51" t="n">
        <f aca="false">SUMPRODUCT(('📋 Raw Data'!$K$2:$K$514)*(('📋 Raw Data'!$A$2:$A$514)=B20))</f>
        <v>287960</v>
      </c>
      <c r="E20" s="52" t="n">
        <f aca="false">SUMPRODUCT(('📋 Raw Data'!$H$2:$H$514)*(('📋 Raw Data'!$A$2:$A$514)=B20))</f>
        <v>3496</v>
      </c>
      <c r="F20" s="52" t="n">
        <f aca="false">SUMPRODUCT(('📋 Raw Data'!$I$2:$I$514)*(('📋 Raw Data'!$A$2:$A$514)=B20))</f>
        <v>116288</v>
      </c>
      <c r="G20" s="52" t="n">
        <f aca="false">SUMPRODUCT(('📋 Raw Data'!$F$2:$F$514)*(('📋 Raw Data'!$A$2:$A$514)=B20))</f>
        <v>4232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customFormat="false" ht="15.75" hidden="false" customHeight="true" outlineLevel="0" collapsed="false">
      <c r="A21" s="11"/>
      <c r="B21" s="49" t="n">
        <v>46100</v>
      </c>
      <c r="C21" s="50" t="str">
        <f aca="false">TEXT(B21,"MMM")</f>
        <v>Mar</v>
      </c>
      <c r="D21" s="51" t="n">
        <f aca="false">SUMPRODUCT(('📋 Raw Data'!$K$2:$K$514)*(('📋 Raw Data'!$A$2:$A$514)=B21))</f>
        <v>204700</v>
      </c>
      <c r="E21" s="52" t="n">
        <f aca="false">SUMPRODUCT(('📋 Raw Data'!$H$2:$H$514)*(('📋 Raw Data'!$A$2:$A$514)=B21))</f>
        <v>6624</v>
      </c>
      <c r="F21" s="52" t="n">
        <f aca="false">SUMPRODUCT(('📋 Raw Data'!$I$2:$I$514)*(('📋 Raw Data'!$A$2:$A$514)=B21))</f>
        <v>216752</v>
      </c>
      <c r="G21" s="52" t="n">
        <f aca="false">SUMPRODUCT(('📋 Raw Data'!$F$2:$F$514)*(('📋 Raw Data'!$A$2:$A$514)=B21))</f>
        <v>5336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customFormat="false" ht="15.75" hidden="false" customHeight="true" outlineLevel="0" collapsed="false">
      <c r="A22" s="11"/>
      <c r="B22" s="49" t="n">
        <v>46101</v>
      </c>
      <c r="C22" s="50" t="str">
        <f aca="false">TEXT(B22,"MMM")</f>
        <v>Mar</v>
      </c>
      <c r="D22" s="51" t="n">
        <f aca="false">SUMPRODUCT(('📋 Raw Data'!$K$2:$K$514)*(('📋 Raw Data'!$A$2:$A$514)=B22))</f>
        <v>201940</v>
      </c>
      <c r="E22" s="52" t="n">
        <f aca="false">SUMPRODUCT(('📋 Raw Data'!$H$2:$H$514)*(('📋 Raw Data'!$A$2:$A$514)=B22))</f>
        <v>4232</v>
      </c>
      <c r="F22" s="52" t="n">
        <f aca="false">SUMPRODUCT(('📋 Raw Data'!$I$2:$I$514)*(('📋 Raw Data'!$A$2:$A$514)=B22))</f>
        <v>85376</v>
      </c>
      <c r="G22" s="52" t="n">
        <f aca="false">SUMPRODUCT(('📋 Raw Data'!$F$2:$F$514)*(('📋 Raw Data'!$A$2:$A$514)=B22))</f>
        <v>4508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customFormat="false" ht="15.75" hidden="false" customHeight="true" outlineLevel="0" collapsed="false">
      <c r="A23" s="11"/>
      <c r="B23" s="49" t="n">
        <v>46102</v>
      </c>
      <c r="C23" s="50" t="str">
        <f aca="false">TEXT(B23,"MMM")</f>
        <v>Mar</v>
      </c>
      <c r="D23" s="51" t="n">
        <f aca="false">SUMPRODUCT(('📋 Raw Data'!$K$2:$K$514)*(('📋 Raw Data'!$A$2:$A$514)=B23))</f>
        <v>443900</v>
      </c>
      <c r="E23" s="52" t="n">
        <f aca="false">SUMPRODUCT(('📋 Raw Data'!$H$2:$H$514)*(('📋 Raw Data'!$A$2:$A$514)=B23))</f>
        <v>5612</v>
      </c>
      <c r="F23" s="52" t="n">
        <f aca="false">SUMPRODUCT(('📋 Raw Data'!$I$2:$I$514)*(('📋 Raw Data'!$A$2:$A$514)=B23))</f>
        <v>139472</v>
      </c>
      <c r="G23" s="52" t="n">
        <f aca="false">SUMPRODUCT(('📋 Raw Data'!$F$2:$F$514)*(('📋 Raw Data'!$A$2:$A$514)=B23))</f>
        <v>5336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customFormat="false" ht="15.75" hidden="false" customHeight="true" outlineLevel="0" collapsed="false">
      <c r="A24" s="11"/>
      <c r="B24" s="49" t="n">
        <v>46103</v>
      </c>
      <c r="C24" s="50" t="str">
        <f aca="false">TEXT(B24,"MMM")</f>
        <v>Mar</v>
      </c>
      <c r="D24" s="51" t="n">
        <f aca="false">SUMPRODUCT(('📋 Raw Data'!$K$2:$K$514)*(('📋 Raw Data'!$A$2:$A$514)=B24))</f>
        <v>167900</v>
      </c>
      <c r="E24" s="52" t="n">
        <f aca="false">SUMPRODUCT(('📋 Raw Data'!$H$2:$H$514)*(('📋 Raw Data'!$A$2:$A$514)=B24))</f>
        <v>3036</v>
      </c>
      <c r="F24" s="52" t="n">
        <f aca="false">SUMPRODUCT(('📋 Raw Data'!$I$2:$I$514)*(('📋 Raw Data'!$A$2:$A$514)=B24))</f>
        <v>77924</v>
      </c>
      <c r="G24" s="52" t="n">
        <f aca="false">SUMPRODUCT(('📋 Raw Data'!$F$2:$F$514)*(('📋 Raw Data'!$A$2:$A$514)=B24))</f>
        <v>4140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customFormat="false" ht="15.75" hidden="false" customHeight="true" outlineLevel="0" collapsed="false">
      <c r="A25" s="11"/>
      <c r="B25" s="49" t="n">
        <v>46104</v>
      </c>
      <c r="C25" s="50" t="str">
        <f aca="false">TEXT(B25,"MMM")</f>
        <v>Mar</v>
      </c>
      <c r="D25" s="51" t="n">
        <f aca="false">SUMPRODUCT(('📋 Raw Data'!$K$2:$K$514)*(('📋 Raw Data'!$A$2:$A$514)=B25))</f>
        <v>337180</v>
      </c>
      <c r="E25" s="52" t="n">
        <f aca="false">SUMPRODUCT(('📋 Raw Data'!$H$2:$H$514)*(('📋 Raw Data'!$A$2:$A$514)=B25))</f>
        <v>6808</v>
      </c>
      <c r="F25" s="52" t="n">
        <f aca="false">SUMPRODUCT(('📋 Raw Data'!$I$2:$I$514)*(('📋 Raw Data'!$A$2:$A$514)=B25))</f>
        <v>195868</v>
      </c>
      <c r="G25" s="52" t="n">
        <f aca="false">SUMPRODUCT(('📋 Raw Data'!$F$2:$F$514)*(('📋 Raw Data'!$A$2:$A$514)=B25))</f>
        <v>7176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customFormat="false" ht="15.75" hidden="false" customHeight="true" outlineLevel="0" collapsed="false">
      <c r="A26" s="11"/>
      <c r="B26" s="49" t="n">
        <v>46105</v>
      </c>
      <c r="C26" s="50" t="str">
        <f aca="false">TEXT(B26,"MMM")</f>
        <v>Mar</v>
      </c>
      <c r="D26" s="51" t="n">
        <f aca="false">SUMPRODUCT(('📋 Raw Data'!$K$2:$K$514)*(('📋 Raw Data'!$A$2:$A$514)=B26))</f>
        <v>351900</v>
      </c>
      <c r="E26" s="52" t="n">
        <f aca="false">SUMPRODUCT(('📋 Raw Data'!$H$2:$H$514)*(('📋 Raw Data'!$A$2:$A$514)=B26))</f>
        <v>3864</v>
      </c>
      <c r="F26" s="52" t="n">
        <f aca="false">SUMPRODUCT(('📋 Raw Data'!$I$2:$I$514)*(('📋 Raw Data'!$A$2:$A$514)=B26))</f>
        <v>31188</v>
      </c>
      <c r="G26" s="52" t="n">
        <f aca="false">SUMPRODUCT(('📋 Raw Data'!$F$2:$F$514)*(('📋 Raw Data'!$A$2:$A$514)=B26))</f>
        <v>6164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customFormat="false" ht="15.75" hidden="false" customHeight="true" outlineLevel="0" collapsed="false">
      <c r="A27" s="11"/>
      <c r="B27" s="49" t="n">
        <v>46106</v>
      </c>
      <c r="C27" s="50" t="str">
        <f aca="false">TEXT(B27,"MMM")</f>
        <v>Mar</v>
      </c>
      <c r="D27" s="51" t="n">
        <f aca="false">SUMPRODUCT(('📋 Raw Data'!$K$2:$K$514)*(('📋 Raw Data'!$A$2:$A$514)=B27))</f>
        <v>416300</v>
      </c>
      <c r="E27" s="52" t="n">
        <f aca="false">SUMPRODUCT(('📋 Raw Data'!$H$2:$H$514)*(('📋 Raw Data'!$A$2:$A$514)=B27))</f>
        <v>7176</v>
      </c>
      <c r="F27" s="52" t="n">
        <f aca="false">SUMPRODUCT(('📋 Raw Data'!$I$2:$I$514)*(('📋 Raw Data'!$A$2:$A$514)=B27))</f>
        <v>267168</v>
      </c>
      <c r="G27" s="52" t="n">
        <f aca="false">SUMPRODUCT(('📋 Raw Data'!$F$2:$F$514)*(('📋 Raw Data'!$A$2:$A$514)=B27))</f>
        <v>7176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customFormat="false" ht="15.75" hidden="false" customHeight="true" outlineLevel="0" collapsed="false">
      <c r="A28" s="11"/>
      <c r="B28" s="49" t="n">
        <v>46107</v>
      </c>
      <c r="C28" s="50" t="str">
        <f aca="false">TEXT(B28,"MMM")</f>
        <v>Mar</v>
      </c>
      <c r="D28" s="51" t="n">
        <f aca="false">SUMPRODUCT(('📋 Raw Data'!$K$2:$K$514)*(('📋 Raw Data'!$A$2:$A$514)=B28))</f>
        <v>639400</v>
      </c>
      <c r="E28" s="52" t="n">
        <f aca="false">SUMPRODUCT(('📋 Raw Data'!$H$2:$H$514)*(('📋 Raw Data'!$A$2:$A$514)=B28))</f>
        <v>10856</v>
      </c>
      <c r="F28" s="52" t="n">
        <f aca="false">SUMPRODUCT(('📋 Raw Data'!$I$2:$I$514)*(('📋 Raw Data'!$A$2:$A$514)=B28))</f>
        <v>420900</v>
      </c>
      <c r="G28" s="52" t="n">
        <f aca="false">SUMPRODUCT(('📋 Raw Data'!$F$2:$F$514)*(('📋 Raw Data'!$A$2:$A$514)=B28))</f>
        <v>10396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customFormat="false" ht="15.75" hidden="false" customHeight="true" outlineLevel="0" collapsed="false">
      <c r="A29" s="11"/>
      <c r="B29" s="49" t="n">
        <v>46108</v>
      </c>
      <c r="C29" s="50" t="str">
        <f aca="false">TEXT(B29,"MMM")</f>
        <v>Mar</v>
      </c>
      <c r="D29" s="51" t="n">
        <f aca="false">SUMPRODUCT(('📋 Raw Data'!$K$2:$K$514)*(('📋 Raw Data'!$A$2:$A$514)=B29))</f>
        <v>499100</v>
      </c>
      <c r="E29" s="52" t="n">
        <f aca="false">SUMPRODUCT(('📋 Raw Data'!$H$2:$H$514)*(('📋 Raw Data'!$A$2:$A$514)=B29))</f>
        <v>6164</v>
      </c>
      <c r="F29" s="52" t="n">
        <f aca="false">SUMPRODUCT(('📋 Raw Data'!$I$2:$I$514)*(('📋 Raw Data'!$A$2:$A$514)=B29))</f>
        <v>299276</v>
      </c>
      <c r="G29" s="52" t="n">
        <f aca="false">SUMPRODUCT(('📋 Raw Data'!$F$2:$F$514)*(('📋 Raw Data'!$A$2:$A$514)=B29))</f>
        <v>6624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customFormat="false" ht="15.75" hidden="false" customHeight="true" outlineLevel="0" collapsed="false">
      <c r="A30" s="11"/>
      <c r="B30" s="49" t="n">
        <v>46109</v>
      </c>
      <c r="C30" s="50" t="str">
        <f aca="false">TEXT(B30,"MMM")</f>
        <v>Mar</v>
      </c>
      <c r="D30" s="51" t="n">
        <f aca="false">SUMPRODUCT(('📋 Raw Data'!$K$2:$K$514)*(('📋 Raw Data'!$A$2:$A$514)=B30))</f>
        <v>259900</v>
      </c>
      <c r="E30" s="52" t="n">
        <f aca="false">SUMPRODUCT(('📋 Raw Data'!$H$2:$H$514)*(('📋 Raw Data'!$A$2:$A$514)=B30))</f>
        <v>4232</v>
      </c>
      <c r="F30" s="52" t="n">
        <f aca="false">SUMPRODUCT(('📋 Raw Data'!$I$2:$I$514)*(('📋 Raw Data'!$A$2:$A$514)=B30))</f>
        <v>121992</v>
      </c>
      <c r="G30" s="52" t="n">
        <f aca="false">SUMPRODUCT(('📋 Raw Data'!$F$2:$F$514)*(('📋 Raw Data'!$A$2:$A$514)=B30))</f>
        <v>5428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customFormat="false" ht="15.75" hidden="false" customHeight="true" outlineLevel="0" collapsed="false">
      <c r="A31" s="11"/>
      <c r="B31" s="49" t="n">
        <v>46110</v>
      </c>
      <c r="C31" s="50" t="str">
        <f aca="false">TEXT(B31,"MMM")</f>
        <v>Mar</v>
      </c>
      <c r="D31" s="51" t="n">
        <f aca="false">SUMPRODUCT(('📋 Raw Data'!$K$2:$K$514)*(('📋 Raw Data'!$A$2:$A$514)=B31))</f>
        <v>406640</v>
      </c>
      <c r="E31" s="52" t="n">
        <f aca="false">SUMPRODUCT(('📋 Raw Data'!$H$2:$H$514)*(('📋 Raw Data'!$A$2:$A$514)=B31))</f>
        <v>8004</v>
      </c>
      <c r="F31" s="52" t="n">
        <f aca="false">SUMPRODUCT(('📋 Raw Data'!$I$2:$I$514)*(('📋 Raw Data'!$A$2:$A$514)=B31))</f>
        <v>244904</v>
      </c>
      <c r="G31" s="52" t="n">
        <f aca="false">SUMPRODUCT(('📋 Raw Data'!$F$2:$F$514)*(('📋 Raw Data'!$A$2:$A$514)=B31))</f>
        <v>9476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customFormat="false" ht="15.75" hidden="false" customHeight="true" outlineLevel="0" collapsed="false">
      <c r="A32" s="11"/>
      <c r="B32" s="49" t="n">
        <v>46111</v>
      </c>
      <c r="C32" s="50" t="str">
        <f aca="false">TEXT(B32,"MMM")</f>
        <v>Mar</v>
      </c>
      <c r="D32" s="51" t="n">
        <f aca="false">SUMPRODUCT(('📋 Raw Data'!$K$2:$K$514)*(('📋 Raw Data'!$A$2:$A$514)=B32))</f>
        <v>426880</v>
      </c>
      <c r="E32" s="52" t="n">
        <f aca="false">SUMPRODUCT(('📋 Raw Data'!$H$2:$H$514)*(('📋 Raw Data'!$A$2:$A$514)=B32))</f>
        <v>5704</v>
      </c>
      <c r="F32" s="52" t="n">
        <f aca="false">SUMPRODUCT(('📋 Raw Data'!$I$2:$I$514)*(('📋 Raw Data'!$A$2:$A$514)=B32))</f>
        <v>71392</v>
      </c>
      <c r="G32" s="52" t="n">
        <f aca="false">SUMPRODUCT(('📋 Raw Data'!$F$2:$F$514)*(('📋 Raw Data'!$A$2:$A$514)=B32))</f>
        <v>5980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customFormat="false" ht="15.75" hidden="false" customHeight="true" outlineLevel="0" collapsed="false">
      <c r="A33" s="11"/>
      <c r="B33" s="49" t="n">
        <v>46112</v>
      </c>
      <c r="C33" s="50" t="str">
        <f aca="false">TEXT(B33,"MMM")</f>
        <v>Mar</v>
      </c>
      <c r="D33" s="51" t="n">
        <f aca="false">SUMPRODUCT(('📋 Raw Data'!$K$2:$K$514)*(('📋 Raw Data'!$A$2:$A$514)=B33))</f>
        <v>195960</v>
      </c>
      <c r="E33" s="52" t="n">
        <f aca="false">SUMPRODUCT(('📋 Raw Data'!$H$2:$H$514)*(('📋 Raw Data'!$A$2:$A$514)=B33))</f>
        <v>7268</v>
      </c>
      <c r="F33" s="52" t="n">
        <f aca="false">SUMPRODUCT(('📋 Raw Data'!$I$2:$I$514)*(('📋 Raw Data'!$A$2:$A$514)=B33))</f>
        <v>265512</v>
      </c>
      <c r="G33" s="52" t="n">
        <f aca="false">SUMPRODUCT(('📋 Raw Data'!$F$2:$F$514)*(('📋 Raw Data'!$A$2:$A$514)=B33))</f>
        <v>4600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customFormat="false" ht="15.75" hidden="false" customHeight="true" outlineLevel="0" collapsed="false">
      <c r="A34" s="11"/>
      <c r="B34" s="53" t="n">
        <v>46113</v>
      </c>
      <c r="C34" s="54" t="str">
        <f aca="false">TEXT(B34,"MMM")</f>
        <v>Apr</v>
      </c>
      <c r="D34" s="55" t="n">
        <f aca="false">SUMPRODUCT(('📋 Raw Data'!$K$2:$K$514)*(('📋 Raw Data'!$A$2:$A$514)=B34))</f>
        <v>165600</v>
      </c>
      <c r="E34" s="56" t="n">
        <f aca="false">SUMPRODUCT(('📋 Raw Data'!$H$2:$H$514)*(('📋 Raw Data'!$A$2:$A$514)=B34))</f>
        <v>5520</v>
      </c>
      <c r="F34" s="56" t="n">
        <f aca="false">SUMPRODUCT(('📋 Raw Data'!$I$2:$I$514)*(('📋 Raw Data'!$A$2:$A$514)=B34))</f>
        <v>235152</v>
      </c>
      <c r="G34" s="56" t="n">
        <f aca="false">SUMPRODUCT(('📋 Raw Data'!$F$2:$F$514)*(('📋 Raw Data'!$A$2:$A$514)=B34))</f>
        <v>3312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customFormat="false" ht="15.75" hidden="false" customHeight="true" outlineLevel="0" collapsed="false">
      <c r="A35" s="11"/>
      <c r="B35" s="53" t="n">
        <v>46114</v>
      </c>
      <c r="C35" s="54" t="str">
        <f aca="false">TEXT(B35,"MMM")</f>
        <v>Apr</v>
      </c>
      <c r="D35" s="55" t="n">
        <f aca="false">SUMPRODUCT(('📋 Raw Data'!$K$2:$K$514)*(('📋 Raw Data'!$A$2:$A$514)=B35))</f>
        <v>471500</v>
      </c>
      <c r="E35" s="56" t="n">
        <f aca="false">SUMPRODUCT(('📋 Raw Data'!$H$2:$H$514)*(('📋 Raw Data'!$A$2:$A$514)=B35))</f>
        <v>9200</v>
      </c>
      <c r="F35" s="56" t="n">
        <f aca="false">SUMPRODUCT(('📋 Raw Data'!$I$2:$I$514)*(('📋 Raw Data'!$A$2:$A$514)=B35))</f>
        <v>375820</v>
      </c>
      <c r="G35" s="56" t="n">
        <f aca="false">SUMPRODUCT(('📋 Raw Data'!$F$2:$F$514)*(('📋 Raw Data'!$A$2:$A$514)=B35))</f>
        <v>7728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customFormat="false" ht="15.75" hidden="false" customHeight="true" outlineLevel="0" collapsed="false">
      <c r="A36" s="11"/>
      <c r="B36" s="53" t="n">
        <v>46115</v>
      </c>
      <c r="C36" s="54" t="str">
        <f aca="false">TEXT(B36,"MMM")</f>
        <v>Apr</v>
      </c>
      <c r="D36" s="55" t="n">
        <f aca="false">SUMPRODUCT(('📋 Raw Data'!$K$2:$K$514)*(('📋 Raw Data'!$A$2:$A$514)=B36))</f>
        <v>205160</v>
      </c>
      <c r="E36" s="56" t="n">
        <f aca="false">SUMPRODUCT(('📋 Raw Data'!$H$2:$H$514)*(('📋 Raw Data'!$A$2:$A$514)=B36))</f>
        <v>4968</v>
      </c>
      <c r="F36" s="56" t="n">
        <f aca="false">SUMPRODUCT(('📋 Raw Data'!$I$2:$I$514)*(('📋 Raw Data'!$A$2:$A$514)=B36))</f>
        <v>182712</v>
      </c>
      <c r="G36" s="56" t="n">
        <f aca="false">SUMPRODUCT(('📋 Raw Data'!$F$2:$F$514)*(('📋 Raw Data'!$A$2:$A$514)=B36))</f>
        <v>5428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customFormat="false" ht="15.75" hidden="false" customHeight="true" outlineLevel="0" collapsed="false">
      <c r="A37" s="11"/>
      <c r="B37" s="53" t="n">
        <v>46116</v>
      </c>
      <c r="C37" s="54" t="str">
        <f aca="false">TEXT(B37,"MMM")</f>
        <v>Apr</v>
      </c>
      <c r="D37" s="55" t="n">
        <f aca="false">SUMPRODUCT(('📋 Raw Data'!$K$2:$K$514)*(('📋 Raw Data'!$A$2:$A$514)=B37))</f>
        <v>533140</v>
      </c>
      <c r="E37" s="56" t="n">
        <f aca="false">SUMPRODUCT(('📋 Raw Data'!$H$2:$H$514)*(('📋 Raw Data'!$A$2:$A$514)=B37))</f>
        <v>5060</v>
      </c>
      <c r="F37" s="56" t="n">
        <f aca="false">SUMPRODUCT(('📋 Raw Data'!$I$2:$I$514)*(('📋 Raw Data'!$A$2:$A$514)=B37))</f>
        <v>155572</v>
      </c>
      <c r="G37" s="56" t="n">
        <f aca="false">SUMPRODUCT(('📋 Raw Data'!$F$2:$F$514)*(('📋 Raw Data'!$A$2:$A$514)=B37))</f>
        <v>8004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customFormat="false" ht="15.75" hidden="false" customHeight="true" outlineLevel="0" collapsed="false">
      <c r="A38" s="11"/>
      <c r="B38" s="53" t="n">
        <v>46117</v>
      </c>
      <c r="C38" s="54" t="str">
        <f aca="false">TEXT(B38,"MMM")</f>
        <v>Apr</v>
      </c>
      <c r="D38" s="55" t="n">
        <f aca="false">SUMPRODUCT(('📋 Raw Data'!$K$2:$K$514)*(('📋 Raw Data'!$A$2:$A$514)=B38))</f>
        <v>184000</v>
      </c>
      <c r="E38" s="56" t="n">
        <f aca="false">SUMPRODUCT(('📋 Raw Data'!$H$2:$H$514)*(('📋 Raw Data'!$A$2:$A$514)=B38))</f>
        <v>4508</v>
      </c>
      <c r="F38" s="56" t="n">
        <f aca="false">SUMPRODUCT(('📋 Raw Data'!$I$2:$I$514)*(('📋 Raw Data'!$A$2:$A$514)=B38))</f>
        <v>124200</v>
      </c>
      <c r="G38" s="56" t="n">
        <f aca="false">SUMPRODUCT(('📋 Raw Data'!$F$2:$F$514)*(('📋 Raw Data'!$A$2:$A$514)=B38))</f>
        <v>3772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customFormat="false" ht="15.75" hidden="false" customHeight="true" outlineLevel="0" collapsed="false">
      <c r="A39" s="11"/>
      <c r="B39" s="53" t="n">
        <v>46118</v>
      </c>
      <c r="C39" s="54" t="str">
        <f aca="false">TEXT(B39,"MMM")</f>
        <v>Apr</v>
      </c>
      <c r="D39" s="55" t="n">
        <f aca="false">SUMPRODUCT(('📋 Raw Data'!$K$2:$K$514)*(('📋 Raw Data'!$A$2:$A$514)=B39))</f>
        <v>374900</v>
      </c>
      <c r="E39" s="56" t="n">
        <f aca="false">SUMPRODUCT(('📋 Raw Data'!$H$2:$H$514)*(('📋 Raw Data'!$A$2:$A$514)=B39))</f>
        <v>7268</v>
      </c>
      <c r="F39" s="56" t="n">
        <f aca="false">SUMPRODUCT(('📋 Raw Data'!$I$2:$I$514)*(('📋 Raw Data'!$A$2:$A$514)=B39))</f>
        <v>94024</v>
      </c>
      <c r="G39" s="56" t="n">
        <f aca="false">SUMPRODUCT(('📋 Raw Data'!$F$2:$F$514)*(('📋 Raw Data'!$A$2:$A$514)=B39))</f>
        <v>5152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customFormat="false" ht="15.75" hidden="false" customHeight="true" outlineLevel="0" collapsed="false">
      <c r="A40" s="11"/>
      <c r="B40" s="53" t="n">
        <v>46119</v>
      </c>
      <c r="C40" s="54" t="str">
        <f aca="false">TEXT(B40,"MMM")</f>
        <v>Apr</v>
      </c>
      <c r="D40" s="55" t="n">
        <f aca="false">SUMPRODUCT(('📋 Raw Data'!$K$2:$K$514)*(('📋 Raw Data'!$A$2:$A$514)=B40))</f>
        <v>331660</v>
      </c>
      <c r="E40" s="56" t="n">
        <f aca="false">SUMPRODUCT(('📋 Raw Data'!$H$2:$H$514)*(('📋 Raw Data'!$A$2:$A$514)=B40))</f>
        <v>4508</v>
      </c>
      <c r="F40" s="56" t="n">
        <f aca="false">SUMPRODUCT(('📋 Raw Data'!$I$2:$I$514)*(('📋 Raw Data'!$A$2:$A$514)=B40))</f>
        <v>168636</v>
      </c>
      <c r="G40" s="56" t="n">
        <f aca="false">SUMPRODUCT(('📋 Raw Data'!$F$2:$F$514)*(('📋 Raw Data'!$A$2:$A$514)=B40))</f>
        <v>6532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customFormat="false" ht="15.75" hidden="false" customHeight="true" outlineLevel="0" collapsed="false">
      <c r="A41" s="11"/>
      <c r="B41" s="53" t="n">
        <v>46120</v>
      </c>
      <c r="C41" s="54" t="str">
        <f aca="false">TEXT(B41,"MMM")</f>
        <v>Apr</v>
      </c>
      <c r="D41" s="55" t="n">
        <f aca="false">SUMPRODUCT(('📋 Raw Data'!$K$2:$K$514)*(('📋 Raw Data'!$A$2:$A$514)=B41))</f>
        <v>441140</v>
      </c>
      <c r="E41" s="56" t="n">
        <f aca="false">SUMPRODUCT(('📋 Raw Data'!$H$2:$H$514)*(('📋 Raw Data'!$A$2:$A$514)=B41))</f>
        <v>5428</v>
      </c>
      <c r="F41" s="56" t="n">
        <f aca="false">SUMPRODUCT(('📋 Raw Data'!$I$2:$I$514)*(('📋 Raw Data'!$A$2:$A$514)=B41))</f>
        <v>207828</v>
      </c>
      <c r="G41" s="56" t="n">
        <f aca="false">SUMPRODUCT(('📋 Raw Data'!$F$2:$F$514)*(('📋 Raw Data'!$A$2:$A$514)=B41))</f>
        <v>7452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customFormat="false" ht="15.75" hidden="false" customHeight="true" outlineLevel="0" collapsed="false">
      <c r="A42" s="11"/>
      <c r="B42" s="53" t="n">
        <v>46121</v>
      </c>
      <c r="C42" s="54" t="str">
        <f aca="false">TEXT(B42,"MMM")</f>
        <v>Apr</v>
      </c>
      <c r="D42" s="55" t="n">
        <f aca="false">SUMPRODUCT(('📋 Raw Data'!$K$2:$K$514)*(('📋 Raw Data'!$A$2:$A$514)=B42))</f>
        <v>143520</v>
      </c>
      <c r="E42" s="56" t="n">
        <f aca="false">SUMPRODUCT(('📋 Raw Data'!$H$2:$H$514)*(('📋 Raw Data'!$A$2:$A$514)=B42))</f>
        <v>2484</v>
      </c>
      <c r="F42" s="56" t="n">
        <f aca="false">SUMPRODUCT(('📋 Raw Data'!$I$2:$I$514)*(('📋 Raw Data'!$A$2:$A$514)=B42))</f>
        <v>130824</v>
      </c>
      <c r="G42" s="56" t="n">
        <f aca="false">SUMPRODUCT(('📋 Raw Data'!$F$2:$F$514)*(('📋 Raw Data'!$A$2:$A$514)=B42))</f>
        <v>3680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customFormat="false" ht="15.75" hidden="false" customHeight="true" outlineLevel="0" collapsed="false">
      <c r="A43" s="11"/>
      <c r="B43" s="53" t="n">
        <v>46122</v>
      </c>
      <c r="C43" s="54" t="str">
        <f aca="false">TEXT(B43,"MMM")</f>
        <v>Apr</v>
      </c>
      <c r="D43" s="55" t="n">
        <f aca="false">SUMPRODUCT(('📋 Raw Data'!$K$2:$K$514)*(('📋 Raw Data'!$A$2:$A$514)=B43))</f>
        <v>549700</v>
      </c>
      <c r="E43" s="56" t="n">
        <f aca="false">SUMPRODUCT(('📋 Raw Data'!$H$2:$H$514)*(('📋 Raw Data'!$A$2:$A$514)=B43))</f>
        <v>5704</v>
      </c>
      <c r="F43" s="56" t="n">
        <f aca="false">SUMPRODUCT(('📋 Raw Data'!$I$2:$I$514)*(('📋 Raw Data'!$A$2:$A$514)=B43))</f>
        <v>161276</v>
      </c>
      <c r="G43" s="56" t="n">
        <f aca="false">SUMPRODUCT(('📋 Raw Data'!$F$2:$F$514)*(('📋 Raw Data'!$A$2:$A$514)=B43))</f>
        <v>8464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customFormat="false" ht="15.75" hidden="false" customHeight="true" outlineLevel="0" collapsed="false">
      <c r="A44" s="11"/>
      <c r="B44" s="53" t="n">
        <v>46123</v>
      </c>
      <c r="C44" s="54" t="str">
        <f aca="false">TEXT(B44,"MMM")</f>
        <v>Apr</v>
      </c>
      <c r="D44" s="55" t="n">
        <f aca="false">SUMPRODUCT(('📋 Raw Data'!$K$2:$K$514)*(('📋 Raw Data'!$A$2:$A$514)=B44))</f>
        <v>272320</v>
      </c>
      <c r="E44" s="56" t="n">
        <f aca="false">SUMPRODUCT(('📋 Raw Data'!$H$2:$H$514)*(('📋 Raw Data'!$A$2:$A$514)=B44))</f>
        <v>4140</v>
      </c>
      <c r="F44" s="56" t="n">
        <f aca="false">SUMPRODUCT(('📋 Raw Data'!$I$2:$I$514)*(('📋 Raw Data'!$A$2:$A$514)=B44))</f>
        <v>82524</v>
      </c>
      <c r="G44" s="56" t="n">
        <f aca="false">SUMPRODUCT(('📋 Raw Data'!$F$2:$F$514)*(('📋 Raw Data'!$A$2:$A$514)=B44))</f>
        <v>3772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customFormat="false" ht="15.75" hidden="false" customHeight="true" outlineLevel="0" collapsed="false">
      <c r="A45" s="11"/>
      <c r="B45" s="53" t="n">
        <v>46124</v>
      </c>
      <c r="C45" s="54" t="str">
        <f aca="false">TEXT(B45,"MMM")</f>
        <v>Apr</v>
      </c>
      <c r="D45" s="55" t="n">
        <f aca="false">SUMPRODUCT(('📋 Raw Data'!$K$2:$K$514)*(('📋 Raw Data'!$A$2:$A$514)=B45))</f>
        <v>383640</v>
      </c>
      <c r="E45" s="56" t="n">
        <f aca="false">SUMPRODUCT(('📋 Raw Data'!$H$2:$H$514)*(('📋 Raw Data'!$A$2:$A$514)=B45))</f>
        <v>5704</v>
      </c>
      <c r="F45" s="56" t="n">
        <f aca="false">SUMPRODUCT(('📋 Raw Data'!$I$2:$I$514)*(('📋 Raw Data'!$A$2:$A$514)=B45))</f>
        <v>159252</v>
      </c>
      <c r="G45" s="56" t="n">
        <f aca="false">SUMPRODUCT(('📋 Raw Data'!$F$2:$F$514)*(('📋 Raw Data'!$A$2:$A$514)=B45))</f>
        <v>8372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customFormat="false" ht="15.75" hidden="false" customHeight="true" outlineLevel="0" collapsed="false">
      <c r="A46" s="11"/>
      <c r="B46" s="53" t="n">
        <v>46125</v>
      </c>
      <c r="C46" s="54" t="str">
        <f aca="false">TEXT(B46,"MMM")</f>
        <v>Apr</v>
      </c>
      <c r="D46" s="55" t="n">
        <f aca="false">SUMPRODUCT(('📋 Raw Data'!$K$2:$K$514)*(('📋 Raw Data'!$A$2:$A$514)=B46))</f>
        <v>299460</v>
      </c>
      <c r="E46" s="56" t="n">
        <f aca="false">SUMPRODUCT(('📋 Raw Data'!$H$2:$H$514)*(('📋 Raw Data'!$A$2:$A$514)=B46))</f>
        <v>5336</v>
      </c>
      <c r="F46" s="56" t="n">
        <f aca="false">SUMPRODUCT(('📋 Raw Data'!$I$2:$I$514)*(('📋 Raw Data'!$A$2:$A$514)=B46))</f>
        <v>181792</v>
      </c>
      <c r="G46" s="56" t="n">
        <f aca="false">SUMPRODUCT(('📋 Raw Data'!$F$2:$F$514)*(('📋 Raw Data'!$A$2:$A$514)=B46))</f>
        <v>6992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customFormat="false" ht="15.75" hidden="false" customHeight="true" outlineLevel="0" collapsed="false">
      <c r="A47" s="11"/>
      <c r="B47" s="53" t="n">
        <v>46126</v>
      </c>
      <c r="C47" s="54" t="str">
        <f aca="false">TEXT(B47,"MMM")</f>
        <v>Apr</v>
      </c>
      <c r="D47" s="55" t="n">
        <f aca="false">SUMPRODUCT(('📋 Raw Data'!$K$2:$K$514)*(('📋 Raw Data'!$A$2:$A$514)=B47))</f>
        <v>420900</v>
      </c>
      <c r="E47" s="56" t="n">
        <f aca="false">SUMPRODUCT(('📋 Raw Data'!$H$2:$H$514)*(('📋 Raw Data'!$A$2:$A$514)=B47))</f>
        <v>5152</v>
      </c>
      <c r="F47" s="56" t="n">
        <f aca="false">SUMPRODUCT(('📋 Raw Data'!$I$2:$I$514)*(('📋 Raw Data'!$A$2:$A$514)=B47))</f>
        <v>231564</v>
      </c>
      <c r="G47" s="56" t="n">
        <f aca="false">SUMPRODUCT(('📋 Raw Data'!$F$2:$F$514)*(('📋 Raw Data'!$A$2:$A$514)=B47))</f>
        <v>6532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customFormat="false" ht="15.75" hidden="false" customHeight="true" outlineLevel="0" collapsed="false">
      <c r="A48" s="11"/>
      <c r="B48" s="53" t="n">
        <v>46127</v>
      </c>
      <c r="C48" s="54" t="str">
        <f aca="false">TEXT(B48,"MMM")</f>
        <v>Apr</v>
      </c>
      <c r="D48" s="55" t="n">
        <f aca="false">SUMPRODUCT(('📋 Raw Data'!$K$2:$K$514)*(('📋 Raw Data'!$A$2:$A$514)=B48))</f>
        <v>369380</v>
      </c>
      <c r="E48" s="56" t="n">
        <f aca="false">SUMPRODUCT(('📋 Raw Data'!$H$2:$H$514)*(('📋 Raw Data'!$A$2:$A$514)=B48))</f>
        <v>8464</v>
      </c>
      <c r="F48" s="56" t="n">
        <f aca="false">SUMPRODUCT(('📋 Raw Data'!$I$2:$I$514)*(('📋 Raw Data'!$A$2:$A$514)=B48))</f>
        <v>143520</v>
      </c>
      <c r="G48" s="56" t="n">
        <f aca="false">SUMPRODUCT(('📋 Raw Data'!$F$2:$F$514)*(('📋 Raw Data'!$A$2:$A$514)=B48))</f>
        <v>6348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customFormat="false" ht="15.75" hidden="false" customHeight="true" outlineLevel="0" collapsed="false">
      <c r="A49" s="11"/>
      <c r="B49" s="53" t="n">
        <v>46128</v>
      </c>
      <c r="C49" s="54" t="str">
        <f aca="false">TEXT(B49,"MMM")</f>
        <v>Apr</v>
      </c>
      <c r="D49" s="55" t="n">
        <f aca="false">SUMPRODUCT(('📋 Raw Data'!$K$2:$K$514)*(('📋 Raw Data'!$A$2:$A$514)=B49))</f>
        <v>82800</v>
      </c>
      <c r="E49" s="56" t="n">
        <f aca="false">SUMPRODUCT(('📋 Raw Data'!$H$2:$H$514)*(('📋 Raw Data'!$A$2:$A$514)=B49))</f>
        <v>3956</v>
      </c>
      <c r="F49" s="56" t="n">
        <f aca="false">SUMPRODUCT(('📋 Raw Data'!$I$2:$I$514)*(('📋 Raw Data'!$A$2:$A$514)=B49))</f>
        <v>156400</v>
      </c>
      <c r="G49" s="56" t="n">
        <f aca="false">SUMPRODUCT(('📋 Raw Data'!$F$2:$F$514)*(('📋 Raw Data'!$A$2:$A$514)=B49))</f>
        <v>2760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customFormat="false" ht="15.75" hidden="false" customHeight="true" outlineLevel="0" collapsed="false">
      <c r="A50" s="11"/>
      <c r="B50" s="53" t="n">
        <v>46129</v>
      </c>
      <c r="C50" s="54" t="str">
        <f aca="false">TEXT(B50,"MMM")</f>
        <v>Apr</v>
      </c>
      <c r="D50" s="55" t="n">
        <f aca="false">SUMPRODUCT(('📋 Raw Data'!$K$2:$K$514)*(('📋 Raw Data'!$A$2:$A$514)=B50))</f>
        <v>349140</v>
      </c>
      <c r="E50" s="56" t="n">
        <f aca="false">SUMPRODUCT(('📋 Raw Data'!$H$2:$H$514)*(('📋 Raw Data'!$A$2:$A$514)=B50))</f>
        <v>3956</v>
      </c>
      <c r="F50" s="56" t="n">
        <f aca="false">SUMPRODUCT(('📋 Raw Data'!$I$2:$I$514)*(('📋 Raw Data'!$A$2:$A$514)=B50))</f>
        <v>129352</v>
      </c>
      <c r="G50" s="56" t="n">
        <f aca="false">SUMPRODUCT(('📋 Raw Data'!$F$2:$F$514)*(('📋 Raw Data'!$A$2:$A$514)=B50))</f>
        <v>5244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customFormat="false" ht="15.75" hidden="false" customHeight="true" outlineLevel="0" collapsed="false">
      <c r="A51" s="11"/>
      <c r="B51" s="53" t="n">
        <v>46130</v>
      </c>
      <c r="C51" s="54" t="str">
        <f aca="false">TEXT(B51,"MMM")</f>
        <v>Apr</v>
      </c>
      <c r="D51" s="55" t="n">
        <f aca="false">SUMPRODUCT(('📋 Raw Data'!$K$2:$K$514)*(('📋 Raw Data'!$A$2:$A$514)=B51))</f>
        <v>398820</v>
      </c>
      <c r="E51" s="56" t="n">
        <f aca="false">SUMPRODUCT(('📋 Raw Data'!$H$2:$H$514)*(('📋 Raw Data'!$A$2:$A$514)=B51))</f>
        <v>5704</v>
      </c>
      <c r="F51" s="56" t="n">
        <f aca="false">SUMPRODUCT(('📋 Raw Data'!$I$2:$I$514)*(('📋 Raw Data'!$A$2:$A$514)=B51))</f>
        <v>85284</v>
      </c>
      <c r="G51" s="56" t="n">
        <f aca="false">SUMPRODUCT(('📋 Raw Data'!$F$2:$F$514)*(('📋 Raw Data'!$A$2:$A$514)=B51))</f>
        <v>8832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customFormat="false" ht="15.75" hidden="false" customHeight="true" outlineLevel="0" collapsed="false">
      <c r="A52" s="11"/>
      <c r="B52" s="53" t="n">
        <v>46131</v>
      </c>
      <c r="C52" s="54" t="str">
        <f aca="false">TEXT(B52,"MMM")</f>
        <v>Apr</v>
      </c>
      <c r="D52" s="55" t="n">
        <f aca="false">SUMPRODUCT(('📋 Raw Data'!$K$2:$K$514)*(('📋 Raw Data'!$A$2:$A$514)=B52))</f>
        <v>441600</v>
      </c>
      <c r="E52" s="56" t="n">
        <f aca="false">SUMPRODUCT(('📋 Raw Data'!$H$2:$H$514)*(('📋 Raw Data'!$A$2:$A$514)=B52))</f>
        <v>9016</v>
      </c>
      <c r="F52" s="56" t="n">
        <f aca="false">SUMPRODUCT(('📋 Raw Data'!$I$2:$I$514)*(('📋 Raw Data'!$A$2:$A$514)=B52))</f>
        <v>110584</v>
      </c>
      <c r="G52" s="56" t="n">
        <f aca="false">SUMPRODUCT(('📋 Raw Data'!$F$2:$F$514)*(('📋 Raw Data'!$A$2:$A$514)=B52))</f>
        <v>7084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customFormat="false" ht="15.75" hidden="false" customHeight="true" outlineLevel="0" collapsed="false">
      <c r="A53" s="11"/>
      <c r="B53" s="53" t="n">
        <v>46132</v>
      </c>
      <c r="C53" s="54" t="str">
        <f aca="false">TEXT(B53,"MMM")</f>
        <v>Apr</v>
      </c>
      <c r="D53" s="55" t="n">
        <f aca="false">SUMPRODUCT(('📋 Raw Data'!$K$2:$K$514)*(('📋 Raw Data'!$A$2:$A$514)=B53))</f>
        <v>297160</v>
      </c>
      <c r="E53" s="56" t="n">
        <f aca="false">SUMPRODUCT(('📋 Raw Data'!$H$2:$H$514)*(('📋 Raw Data'!$A$2:$A$514)=B53))</f>
        <v>7268</v>
      </c>
      <c r="F53" s="56" t="n">
        <f aca="false">SUMPRODUCT(('📋 Raw Data'!$I$2:$I$514)*(('📋 Raw Data'!$A$2:$A$514)=B53))</f>
        <v>205068</v>
      </c>
      <c r="G53" s="56" t="n">
        <f aca="false">SUMPRODUCT(('📋 Raw Data'!$F$2:$F$514)*(('📋 Raw Data'!$A$2:$A$514)=B53))</f>
        <v>5888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customFormat="false" ht="15.75" hidden="false" customHeight="true" outlineLevel="0" collapsed="false">
      <c r="A54" s="11"/>
      <c r="B54" s="53" t="n">
        <v>46133</v>
      </c>
      <c r="C54" s="54" t="str">
        <f aca="false">TEXT(B54,"MMM")</f>
        <v>Apr</v>
      </c>
      <c r="D54" s="55" t="n">
        <f aca="false">SUMPRODUCT(('📋 Raw Data'!$K$2:$K$514)*(('📋 Raw Data'!$A$2:$A$514)=B54))</f>
        <v>404800</v>
      </c>
      <c r="E54" s="56" t="n">
        <f aca="false">SUMPRODUCT(('📋 Raw Data'!$H$2:$H$514)*(('📋 Raw Data'!$A$2:$A$514)=B54))</f>
        <v>4508</v>
      </c>
      <c r="F54" s="56" t="n">
        <f aca="false">SUMPRODUCT(('📋 Raw Data'!$I$2:$I$514)*(('📋 Raw Data'!$A$2:$A$514)=B54))</f>
        <v>154100</v>
      </c>
      <c r="G54" s="56" t="n">
        <f aca="false">SUMPRODUCT(('📋 Raw Data'!$F$2:$F$514)*(('📋 Raw Data'!$A$2:$A$514)=B54))</f>
        <v>5520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customFormat="false" ht="15.75" hidden="false" customHeight="true" outlineLevel="0" collapsed="false">
      <c r="A55" s="11"/>
      <c r="B55" s="53" t="n">
        <v>46134</v>
      </c>
      <c r="C55" s="54" t="str">
        <f aca="false">TEXT(B55,"MMM")</f>
        <v>Apr</v>
      </c>
      <c r="D55" s="55" t="n">
        <f aca="false">SUMPRODUCT(('📋 Raw Data'!$K$2:$K$514)*(('📋 Raw Data'!$A$2:$A$514)=B55))</f>
        <v>176180</v>
      </c>
      <c r="E55" s="56" t="n">
        <f aca="false">SUMPRODUCT(('📋 Raw Data'!$H$2:$H$514)*(('📋 Raw Data'!$A$2:$A$514)=B55))</f>
        <v>3404</v>
      </c>
      <c r="F55" s="56" t="n">
        <f aca="false">SUMPRODUCT(('📋 Raw Data'!$I$2:$I$514)*(('📋 Raw Data'!$A$2:$A$514)=B55))</f>
        <v>105708</v>
      </c>
      <c r="G55" s="56" t="n">
        <f aca="false">SUMPRODUCT(('📋 Raw Data'!$F$2:$F$514)*(('📋 Raw Data'!$A$2:$A$514)=B55))</f>
        <v>2944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customFormat="false" ht="15.75" hidden="false" customHeight="true" outlineLevel="0" collapsed="false">
      <c r="A56" s="11"/>
      <c r="B56" s="53" t="n">
        <v>46135</v>
      </c>
      <c r="C56" s="54" t="str">
        <f aca="false">TEXT(B56,"MMM")</f>
        <v>Apr</v>
      </c>
      <c r="D56" s="55" t="n">
        <f aca="false">SUMPRODUCT(('📋 Raw Data'!$K$2:$K$514)*(('📋 Raw Data'!$A$2:$A$514)=B56))</f>
        <v>184000</v>
      </c>
      <c r="E56" s="56" t="n">
        <f aca="false">SUMPRODUCT(('📋 Raw Data'!$H$2:$H$514)*(('📋 Raw Data'!$A$2:$A$514)=B56))</f>
        <v>4048</v>
      </c>
      <c r="F56" s="56" t="n">
        <f aca="false">SUMPRODUCT(('📋 Raw Data'!$I$2:$I$514)*(('📋 Raw Data'!$A$2:$A$514)=B56))</f>
        <v>61088</v>
      </c>
      <c r="G56" s="56" t="n">
        <f aca="false">SUMPRODUCT(('📋 Raw Data'!$F$2:$F$514)*(('📋 Raw Data'!$A$2:$A$514)=B56))</f>
        <v>2852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customFormat="false" ht="15.75" hidden="false" customHeight="true" outlineLevel="0" collapsed="false">
      <c r="A57" s="11"/>
      <c r="B57" s="53" t="n">
        <v>46136</v>
      </c>
      <c r="C57" s="54" t="str">
        <f aca="false">TEXT(B57,"MMM")</f>
        <v>Apr</v>
      </c>
      <c r="D57" s="55" t="n">
        <f aca="false">SUMPRODUCT(('📋 Raw Data'!$K$2:$K$514)*(('📋 Raw Data'!$A$2:$A$514)=B57))</f>
        <v>392840</v>
      </c>
      <c r="E57" s="56" t="n">
        <f aca="false">SUMPRODUCT(('📋 Raw Data'!$H$2:$H$514)*(('📋 Raw Data'!$A$2:$A$514)=B57))</f>
        <v>7452</v>
      </c>
      <c r="F57" s="56" t="n">
        <f aca="false">SUMPRODUCT(('📋 Raw Data'!$I$2:$I$514)*(('📋 Raw Data'!$A$2:$A$514)=B57))</f>
        <v>111872</v>
      </c>
      <c r="G57" s="56" t="n">
        <f aca="false">SUMPRODUCT(('📋 Raw Data'!$F$2:$F$514)*(('📋 Raw Data'!$A$2:$A$514)=B57))</f>
        <v>6532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customFormat="false" ht="15.75" hidden="false" customHeight="true" outlineLevel="0" collapsed="false">
      <c r="A58" s="11"/>
      <c r="B58" s="53" t="n">
        <v>46137</v>
      </c>
      <c r="C58" s="54" t="str">
        <f aca="false">TEXT(B58,"MMM")</f>
        <v>Apr</v>
      </c>
      <c r="D58" s="55" t="n">
        <f aca="false">SUMPRODUCT(('📋 Raw Data'!$K$2:$K$514)*(('📋 Raw Data'!$A$2:$A$514)=B58))</f>
        <v>531300</v>
      </c>
      <c r="E58" s="56" t="n">
        <f aca="false">SUMPRODUCT(('📋 Raw Data'!$H$2:$H$514)*(('📋 Raw Data'!$A$2:$A$514)=B58))</f>
        <v>8648</v>
      </c>
      <c r="F58" s="56" t="n">
        <f aca="false">SUMPRODUCT(('📋 Raw Data'!$I$2:$I$514)*(('📋 Raw Data'!$A$2:$A$514)=B58))</f>
        <v>194580</v>
      </c>
      <c r="G58" s="56" t="n">
        <f aca="false">SUMPRODUCT(('📋 Raw Data'!$F$2:$F$514)*(('📋 Raw Data'!$A$2:$A$514)=B58))</f>
        <v>7820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customFormat="false" ht="15.75" hidden="false" customHeight="true" outlineLevel="0" collapsed="false">
      <c r="A59" s="11"/>
      <c r="B59" s="53" t="n">
        <v>46138</v>
      </c>
      <c r="C59" s="54" t="str">
        <f aca="false">TEXT(B59,"MMM")</f>
        <v>Apr</v>
      </c>
      <c r="D59" s="55" t="n">
        <f aca="false">SUMPRODUCT(('📋 Raw Data'!$K$2:$K$514)*(('📋 Raw Data'!$A$2:$A$514)=B59))</f>
        <v>416300</v>
      </c>
      <c r="E59" s="56" t="n">
        <f aca="false">SUMPRODUCT(('📋 Raw Data'!$H$2:$H$514)*(('📋 Raw Data'!$A$2:$A$514)=B59))</f>
        <v>2760</v>
      </c>
      <c r="F59" s="56" t="n">
        <f aca="false">SUMPRODUCT(('📋 Raw Data'!$I$2:$I$514)*(('📋 Raw Data'!$A$2:$A$514)=B59))</f>
        <v>130364</v>
      </c>
      <c r="G59" s="56" t="n">
        <f aca="false">SUMPRODUCT(('📋 Raw Data'!$F$2:$F$514)*(('📋 Raw Data'!$A$2:$A$514)=B59))</f>
        <v>4600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customFormat="false" ht="15.75" hidden="false" customHeight="true" outlineLevel="0" collapsed="false">
      <c r="A60" s="11"/>
      <c r="B60" s="53" t="n">
        <v>46139</v>
      </c>
      <c r="C60" s="54" t="str">
        <f aca="false">TEXT(B60,"MMM")</f>
        <v>Apr</v>
      </c>
      <c r="D60" s="55" t="n">
        <f aca="false">SUMPRODUCT(('📋 Raw Data'!$K$2:$K$514)*(('📋 Raw Data'!$A$2:$A$514)=B60))</f>
        <v>249780</v>
      </c>
      <c r="E60" s="56" t="n">
        <f aca="false">SUMPRODUCT(('📋 Raw Data'!$H$2:$H$514)*(('📋 Raw Data'!$A$2:$A$514)=B60))</f>
        <v>7544</v>
      </c>
      <c r="F60" s="56" t="n">
        <f aca="false">SUMPRODUCT(('📋 Raw Data'!$I$2:$I$514)*(('📋 Raw Data'!$A$2:$A$514)=B60))</f>
        <v>225676</v>
      </c>
      <c r="G60" s="56" t="n">
        <f aca="false">SUMPRODUCT(('📋 Raw Data'!$F$2:$F$514)*(('📋 Raw Data'!$A$2:$A$514)=B60))</f>
        <v>4324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customFormat="false" ht="15.75" hidden="false" customHeight="true" outlineLevel="0" collapsed="false">
      <c r="A61" s="11"/>
      <c r="B61" s="53" t="n">
        <v>46140</v>
      </c>
      <c r="C61" s="54" t="str">
        <f aca="false">TEXT(B61,"MMM")</f>
        <v>Apr</v>
      </c>
      <c r="D61" s="55" t="n">
        <f aca="false">SUMPRODUCT(('📋 Raw Data'!$K$2:$K$514)*(('📋 Raw Data'!$A$2:$A$514)=B61))</f>
        <v>608120</v>
      </c>
      <c r="E61" s="56" t="n">
        <f aca="false">SUMPRODUCT(('📋 Raw Data'!$H$2:$H$514)*(('📋 Raw Data'!$A$2:$A$514)=B61))</f>
        <v>7084</v>
      </c>
      <c r="F61" s="56" t="n">
        <f aca="false">SUMPRODUCT(('📋 Raw Data'!$I$2:$I$514)*(('📋 Raw Data'!$A$2:$A$514)=B61))</f>
        <v>111320</v>
      </c>
      <c r="G61" s="56" t="n">
        <f aca="false">SUMPRODUCT(('📋 Raw Data'!$F$2:$F$514)*(('📋 Raw Data'!$A$2:$A$514)=B61))</f>
        <v>10028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customFormat="false" ht="15.75" hidden="false" customHeight="true" outlineLevel="0" collapsed="false">
      <c r="A62" s="11"/>
      <c r="B62" s="53" t="n">
        <v>46141</v>
      </c>
      <c r="C62" s="54" t="str">
        <f aca="false">TEXT(B62,"MMM")</f>
        <v>Apr</v>
      </c>
      <c r="D62" s="55" t="n">
        <f aca="false">SUMPRODUCT(('📋 Raw Data'!$K$2:$K$514)*(('📋 Raw Data'!$A$2:$A$514)=B62))</f>
        <v>159160</v>
      </c>
      <c r="E62" s="56" t="n">
        <f aca="false">SUMPRODUCT(('📋 Raw Data'!$H$2:$H$514)*(('📋 Raw Data'!$A$2:$A$514)=B62))</f>
        <v>4048</v>
      </c>
      <c r="F62" s="56" t="n">
        <f aca="false">SUMPRODUCT(('📋 Raw Data'!$I$2:$I$514)*(('📋 Raw Data'!$A$2:$A$514)=B62))</f>
        <v>163576</v>
      </c>
      <c r="G62" s="56" t="n">
        <f aca="false">SUMPRODUCT(('📋 Raw Data'!$F$2:$F$514)*(('📋 Raw Data'!$A$2:$A$514)=B62))</f>
        <v>3220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customFormat="false" ht="15.75" hidden="false" customHeight="true" outlineLevel="0" collapsed="false">
      <c r="A63" s="11"/>
      <c r="B63" s="53" t="n">
        <v>46142</v>
      </c>
      <c r="C63" s="54" t="str">
        <f aca="false">TEXT(B63,"MMM")</f>
        <v>Apr</v>
      </c>
      <c r="D63" s="55" t="n">
        <f aca="false">SUMPRODUCT(('📋 Raw Data'!$K$2:$K$514)*(('📋 Raw Data'!$A$2:$A$514)=B63))</f>
        <v>251620</v>
      </c>
      <c r="E63" s="56" t="n">
        <f aca="false">SUMPRODUCT(('📋 Raw Data'!$H$2:$H$514)*(('📋 Raw Data'!$A$2:$A$514)=B63))</f>
        <v>4876</v>
      </c>
      <c r="F63" s="56" t="n">
        <f aca="false">SUMPRODUCT(('📋 Raw Data'!$I$2:$I$514)*(('📋 Raw Data'!$A$2:$A$514)=B63))</f>
        <v>143152</v>
      </c>
      <c r="G63" s="56" t="n">
        <f aca="false">SUMPRODUCT(('📋 Raw Data'!$F$2:$F$514)*(('📋 Raw Data'!$A$2:$A$514)=B63))</f>
        <v>5428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customFormat="false" ht="15.75" hidden="false" customHeight="true" outlineLevel="0" collapsed="false">
      <c r="A64" s="11"/>
      <c r="B64" s="57" t="n">
        <v>46143</v>
      </c>
      <c r="C64" s="58" t="str">
        <f aca="false">TEXT(B64,"MMM")</f>
        <v>May</v>
      </c>
      <c r="D64" s="59" t="n">
        <f aca="false">SUMPRODUCT(('📋 Raw Data'!$K$2:$K$514)*(('📋 Raw Data'!$A$2:$A$514)=B64))</f>
        <v>357880</v>
      </c>
      <c r="E64" s="60" t="n">
        <f aca="false">SUMPRODUCT(('📋 Raw Data'!$H$2:$H$514)*(('📋 Raw Data'!$A$2:$A$514)=B64))</f>
        <v>8004</v>
      </c>
      <c r="F64" s="60" t="n">
        <f aca="false">SUMPRODUCT(('📋 Raw Data'!$I$2:$I$514)*(('📋 Raw Data'!$A$2:$A$514)=B64))</f>
        <v>281520</v>
      </c>
      <c r="G64" s="60" t="n">
        <f aca="false">SUMPRODUCT(('📋 Raw Data'!$F$2:$F$514)*(('📋 Raw Data'!$A$2:$A$514)=B64))</f>
        <v>6808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customFormat="false" ht="15.75" hidden="false" customHeight="true" outlineLevel="0" collapsed="false">
      <c r="A65" s="11"/>
      <c r="B65" s="57" t="n">
        <v>46144</v>
      </c>
      <c r="C65" s="58" t="str">
        <f aca="false">TEXT(B65,"MMM")</f>
        <v>May</v>
      </c>
      <c r="D65" s="59" t="n">
        <f aca="false">SUMPRODUCT(('📋 Raw Data'!$K$2:$K$514)*(('📋 Raw Data'!$A$2:$A$514)=B65))</f>
        <v>322000</v>
      </c>
      <c r="E65" s="60" t="n">
        <f aca="false">SUMPRODUCT(('📋 Raw Data'!$H$2:$H$514)*(('📋 Raw Data'!$A$2:$A$514)=B65))</f>
        <v>3772</v>
      </c>
      <c r="F65" s="60" t="n">
        <f aca="false">SUMPRODUCT(('📋 Raw Data'!$I$2:$I$514)*(('📋 Raw Data'!$A$2:$A$514)=B65))</f>
        <v>121256</v>
      </c>
      <c r="G65" s="60" t="n">
        <f aca="false">SUMPRODUCT(('📋 Raw Data'!$F$2:$F$514)*(('📋 Raw Data'!$A$2:$A$514)=B65))</f>
        <v>4784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customFormat="false" ht="15.75" hidden="false" customHeight="true" outlineLevel="0" collapsed="false">
      <c r="A66" s="11"/>
      <c r="B66" s="57" t="n">
        <v>46145</v>
      </c>
      <c r="C66" s="58" t="str">
        <f aca="false">TEXT(B66,"MMM")</f>
        <v>May</v>
      </c>
      <c r="D66" s="59" t="n">
        <f aca="false">SUMPRODUCT(('📋 Raw Data'!$K$2:$K$514)*(('📋 Raw Data'!$A$2:$A$514)=B66))</f>
        <v>171580</v>
      </c>
      <c r="E66" s="60" t="n">
        <f aca="false">SUMPRODUCT(('📋 Raw Data'!$H$2:$H$514)*(('📋 Raw Data'!$A$2:$A$514)=B66))</f>
        <v>6992</v>
      </c>
      <c r="F66" s="60" t="n">
        <f aca="false">SUMPRODUCT(('📋 Raw Data'!$I$2:$I$514)*(('📋 Raw Data'!$A$2:$A$514)=B66))</f>
        <v>160080</v>
      </c>
      <c r="G66" s="60" t="n">
        <f aca="false">SUMPRODUCT(('📋 Raw Data'!$F$2:$F$514)*(('📋 Raw Data'!$A$2:$A$514)=B66))</f>
        <v>4416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customFormat="false" ht="15.75" hidden="false" customHeight="true" outlineLevel="0" collapsed="false">
      <c r="A67" s="11"/>
      <c r="B67" s="57" t="n">
        <v>46146</v>
      </c>
      <c r="C67" s="58" t="str">
        <f aca="false">TEXT(B67,"MMM")</f>
        <v>May</v>
      </c>
      <c r="D67" s="59" t="n">
        <f aca="false">SUMPRODUCT(('📋 Raw Data'!$K$2:$K$514)*(('📋 Raw Data'!$A$2:$A$514)=B67))</f>
        <v>305440</v>
      </c>
      <c r="E67" s="60" t="n">
        <f aca="false">SUMPRODUCT(('📋 Raw Data'!$H$2:$H$514)*(('📋 Raw Data'!$A$2:$A$514)=B67))</f>
        <v>2024</v>
      </c>
      <c r="F67" s="60" t="n">
        <f aca="false">SUMPRODUCT(('📋 Raw Data'!$I$2:$I$514)*(('📋 Raw Data'!$A$2:$A$514)=B67))</f>
        <v>52440</v>
      </c>
      <c r="G67" s="60" t="n">
        <f aca="false">SUMPRODUCT(('📋 Raw Data'!$F$2:$F$514)*(('📋 Raw Data'!$A$2:$A$514)=B67))</f>
        <v>4508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customFormat="false" ht="15.75" hidden="false" customHeight="true" outlineLevel="0" collapsed="false">
      <c r="A68" s="11"/>
      <c r="B68" s="57" t="n">
        <v>46147</v>
      </c>
      <c r="C68" s="58" t="str">
        <f aca="false">TEXT(B68,"MMM")</f>
        <v>May</v>
      </c>
      <c r="D68" s="59" t="n">
        <f aca="false">SUMPRODUCT(('📋 Raw Data'!$K$2:$K$514)*(('📋 Raw Data'!$A$2:$A$514)=B68))</f>
        <v>247480</v>
      </c>
      <c r="E68" s="60" t="n">
        <f aca="false">SUMPRODUCT(('📋 Raw Data'!$H$2:$H$514)*(('📋 Raw Data'!$A$2:$A$514)=B68))</f>
        <v>3680</v>
      </c>
      <c r="F68" s="60" t="n">
        <f aca="false">SUMPRODUCT(('📋 Raw Data'!$I$2:$I$514)*(('📋 Raw Data'!$A$2:$A$514)=B68))</f>
        <v>109572</v>
      </c>
      <c r="G68" s="60" t="n">
        <f aca="false">SUMPRODUCT(('📋 Raw Data'!$F$2:$F$514)*(('📋 Raw Data'!$A$2:$A$514)=B68))</f>
        <v>3404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customFormat="false" ht="15.75" hidden="false" customHeight="true" outlineLevel="0" collapsed="false">
      <c r="A69" s="11"/>
      <c r="B69" s="57" t="n">
        <v>46148</v>
      </c>
      <c r="C69" s="58" t="str">
        <f aca="false">TEXT(B69,"MMM")</f>
        <v>May</v>
      </c>
      <c r="D69" s="59" t="n">
        <f aca="false">SUMPRODUCT(('📋 Raw Data'!$K$2:$K$514)*(('📋 Raw Data'!$A$2:$A$514)=B69))</f>
        <v>259900</v>
      </c>
      <c r="E69" s="60" t="n">
        <f aca="false">SUMPRODUCT(('📋 Raw Data'!$H$2:$H$514)*(('📋 Raw Data'!$A$2:$A$514)=B69))</f>
        <v>6624</v>
      </c>
      <c r="F69" s="60" t="n">
        <f aca="false">SUMPRODUCT(('📋 Raw Data'!$I$2:$I$514)*(('📋 Raw Data'!$A$2:$A$514)=B69))</f>
        <v>63020</v>
      </c>
      <c r="G69" s="60" t="n">
        <f aca="false">SUMPRODUCT(('📋 Raw Data'!$F$2:$F$514)*(('📋 Raw Data'!$A$2:$A$514)=B69))</f>
        <v>4784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customFormat="false" ht="15.75" hidden="false" customHeight="true" outlineLevel="0" collapsed="false">
      <c r="A70" s="11"/>
      <c r="B70" s="57" t="n">
        <v>46149</v>
      </c>
      <c r="C70" s="58" t="str">
        <f aca="false">TEXT(B70,"MMM")</f>
        <v>May</v>
      </c>
      <c r="D70" s="59" t="n">
        <f aca="false">SUMPRODUCT(('📋 Raw Data'!$K$2:$K$514)*(('📋 Raw Data'!$A$2:$A$514)=B70))</f>
        <v>412620</v>
      </c>
      <c r="E70" s="60" t="n">
        <f aca="false">SUMPRODUCT(('📋 Raw Data'!$H$2:$H$514)*(('📋 Raw Data'!$A$2:$A$514)=B70))</f>
        <v>4968</v>
      </c>
      <c r="F70" s="60" t="n">
        <f aca="false">SUMPRODUCT(('📋 Raw Data'!$I$2:$I$514)*(('📋 Raw Data'!$A$2:$A$514)=B70))</f>
        <v>144348</v>
      </c>
      <c r="G70" s="60" t="n">
        <f aca="false">SUMPRODUCT(('📋 Raw Data'!$F$2:$F$514)*(('📋 Raw Data'!$A$2:$A$514)=B70))</f>
        <v>5796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customFormat="false" ht="15.75" hidden="false" customHeight="true" outlineLevel="0" collapsed="false">
      <c r="A71" s="11"/>
      <c r="B71" s="57" t="n">
        <v>46150</v>
      </c>
      <c r="C71" s="58" t="str">
        <f aca="false">TEXT(B71,"MMM")</f>
        <v>May</v>
      </c>
      <c r="D71" s="59" t="n">
        <f aca="false">SUMPRODUCT(('📋 Raw Data'!$K$2:$K$514)*(('📋 Raw Data'!$A$2:$A$514)=B71))</f>
        <v>358800</v>
      </c>
      <c r="E71" s="60" t="n">
        <f aca="false">SUMPRODUCT(('📋 Raw Data'!$H$2:$H$514)*(('📋 Raw Data'!$A$2:$A$514)=B71))</f>
        <v>8648</v>
      </c>
      <c r="F71" s="60" t="n">
        <f aca="false">SUMPRODUCT(('📋 Raw Data'!$I$2:$I$514)*(('📋 Raw Data'!$A$2:$A$514)=B71))</f>
        <v>169096</v>
      </c>
      <c r="G71" s="60" t="n">
        <f aca="false">SUMPRODUCT(('📋 Raw Data'!$F$2:$F$514)*(('📋 Raw Data'!$A$2:$A$514)=B71))</f>
        <v>6808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customFormat="false" ht="15.75" hidden="false" customHeight="true" outlineLevel="0" collapsed="false">
      <c r="A72" s="11"/>
      <c r="B72" s="57" t="n">
        <v>46151</v>
      </c>
      <c r="C72" s="58" t="str">
        <f aca="false">TEXT(B72,"MMM")</f>
        <v>May</v>
      </c>
      <c r="D72" s="59" t="n">
        <f aca="false">SUMPRODUCT(('📋 Raw Data'!$K$2:$K$514)*(('📋 Raw Data'!$A$2:$A$514)=B72))</f>
        <v>239200</v>
      </c>
      <c r="E72" s="60" t="n">
        <f aca="false">SUMPRODUCT(('📋 Raw Data'!$H$2:$H$514)*(('📋 Raw Data'!$A$2:$A$514)=B72))</f>
        <v>7176</v>
      </c>
      <c r="F72" s="60" t="n">
        <f aca="false">SUMPRODUCT(('📋 Raw Data'!$I$2:$I$514)*(('📋 Raw Data'!$A$2:$A$514)=B72))</f>
        <v>110584</v>
      </c>
      <c r="G72" s="60" t="n">
        <f aca="false">SUMPRODUCT(('📋 Raw Data'!$F$2:$F$514)*(('📋 Raw Data'!$A$2:$A$514)=B72))</f>
        <v>3404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customFormat="false" ht="15.75" hidden="false" customHeight="true" outlineLevel="0" collapsed="false">
      <c r="A73" s="11"/>
      <c r="B73" s="57" t="n">
        <v>46152</v>
      </c>
      <c r="C73" s="58" t="str">
        <f aca="false">TEXT(B73,"MMM")</f>
        <v>May</v>
      </c>
      <c r="D73" s="59" t="n">
        <f aca="false">SUMPRODUCT(('📋 Raw Data'!$K$2:$K$514)*(('📋 Raw Data'!$A$2:$A$514)=B73))</f>
        <v>246100</v>
      </c>
      <c r="E73" s="60" t="n">
        <f aca="false">SUMPRODUCT(('📋 Raw Data'!$H$2:$H$514)*(('📋 Raw Data'!$A$2:$A$514)=B73))</f>
        <v>4600</v>
      </c>
      <c r="F73" s="60" t="n">
        <f aca="false">SUMPRODUCT(('📋 Raw Data'!$I$2:$I$514)*(('📋 Raw Data'!$A$2:$A$514)=B73))</f>
        <v>123372</v>
      </c>
      <c r="G73" s="60" t="n">
        <f aca="false">SUMPRODUCT(('📋 Raw Data'!$F$2:$F$514)*(('📋 Raw Data'!$A$2:$A$514)=B73))</f>
        <v>5888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customFormat="false" ht="15.75" hidden="false" customHeight="true" outlineLevel="0" collapsed="false">
      <c r="A74" s="11"/>
      <c r="B74" s="57" t="n">
        <v>46153</v>
      </c>
      <c r="C74" s="58" t="str">
        <f aca="false">TEXT(B74,"MMM")</f>
        <v>May</v>
      </c>
      <c r="D74" s="59" t="n">
        <f aca="false">SUMPRODUCT(('📋 Raw Data'!$K$2:$K$514)*(('📋 Raw Data'!$A$2:$A$514)=B74))</f>
        <v>349600</v>
      </c>
      <c r="E74" s="60" t="n">
        <f aca="false">SUMPRODUCT(('📋 Raw Data'!$H$2:$H$514)*(('📋 Raw Data'!$A$2:$A$514)=B74))</f>
        <v>5152</v>
      </c>
      <c r="F74" s="60" t="n">
        <f aca="false">SUMPRODUCT(('📋 Raw Data'!$I$2:$I$514)*(('📋 Raw Data'!$A$2:$A$514)=B74))</f>
        <v>175536</v>
      </c>
      <c r="G74" s="60" t="n">
        <f aca="false">SUMPRODUCT(('📋 Raw Data'!$F$2:$F$514)*(('📋 Raw Data'!$A$2:$A$514)=B74))</f>
        <v>6716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customFormat="false" ht="15.75" hidden="false" customHeight="true" outlineLevel="0" collapsed="false">
      <c r="A75" s="11"/>
      <c r="B75" s="57" t="n">
        <v>46154</v>
      </c>
      <c r="C75" s="58" t="str">
        <f aca="false">TEXT(B75,"MMM")</f>
        <v>May</v>
      </c>
      <c r="D75" s="59" t="n">
        <f aca="false">SUMPRODUCT(('📋 Raw Data'!$K$2:$K$514)*(('📋 Raw Data'!$A$2:$A$514)=B75))</f>
        <v>391000</v>
      </c>
      <c r="E75" s="60" t="n">
        <f aca="false">SUMPRODUCT(('📋 Raw Data'!$H$2:$H$514)*(('📋 Raw Data'!$A$2:$A$514)=B75))</f>
        <v>6624</v>
      </c>
      <c r="F75" s="60" t="n">
        <f aca="false">SUMPRODUCT(('📋 Raw Data'!$I$2:$I$514)*(('📋 Raw Data'!$A$2:$A$514)=B75))</f>
        <v>201480</v>
      </c>
      <c r="G75" s="60" t="n">
        <f aca="false">SUMPRODUCT(('📋 Raw Data'!$F$2:$F$514)*(('📋 Raw Data'!$A$2:$A$514)=B75))</f>
        <v>6440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customFormat="false" ht="15.75" hidden="false" customHeight="true" outlineLevel="0" collapsed="false">
      <c r="A76" s="11"/>
      <c r="B76" s="57" t="n">
        <v>46155</v>
      </c>
      <c r="C76" s="58" t="str">
        <f aca="false">TEXT(B76,"MMM")</f>
        <v>May</v>
      </c>
      <c r="D76" s="59" t="n">
        <f aca="false">SUMPRODUCT(('📋 Raw Data'!$K$2:$K$514)*(('📋 Raw Data'!$A$2:$A$514)=B76))</f>
        <v>530840</v>
      </c>
      <c r="E76" s="60" t="n">
        <f aca="false">SUMPRODUCT(('📋 Raw Data'!$H$2:$H$514)*(('📋 Raw Data'!$A$2:$A$514)=B76))</f>
        <v>5796</v>
      </c>
      <c r="F76" s="60" t="n">
        <f aca="false">SUMPRODUCT(('📋 Raw Data'!$I$2:$I$514)*(('📋 Raw Data'!$A$2:$A$514)=B76))</f>
        <v>144532</v>
      </c>
      <c r="G76" s="60" t="n">
        <f aca="false">SUMPRODUCT(('📋 Raw Data'!$F$2:$F$514)*(('📋 Raw Data'!$A$2:$A$514)=B76))</f>
        <v>7912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customFormat="false" ht="15.75" hidden="false" customHeight="true" outlineLevel="0" collapsed="false">
      <c r="A77" s="11"/>
      <c r="B77" s="57" t="n">
        <v>46156</v>
      </c>
      <c r="C77" s="58" t="str">
        <f aca="false">TEXT(B77,"MMM")</f>
        <v>May</v>
      </c>
      <c r="D77" s="59" t="n">
        <f aca="false">SUMPRODUCT(('📋 Raw Data'!$K$2:$K$514)*(('📋 Raw Data'!$A$2:$A$514)=B77))</f>
        <v>495420</v>
      </c>
      <c r="E77" s="60" t="n">
        <f aca="false">SUMPRODUCT(('📋 Raw Data'!$H$2:$H$514)*(('📋 Raw Data'!$A$2:$A$514)=B77))</f>
        <v>6808</v>
      </c>
      <c r="F77" s="60" t="n">
        <f aca="false">SUMPRODUCT(('📋 Raw Data'!$I$2:$I$514)*(('📋 Raw Data'!$A$2:$A$514)=B77))</f>
        <v>243800</v>
      </c>
      <c r="G77" s="60" t="n">
        <f aca="false">SUMPRODUCT(('📋 Raw Data'!$F$2:$F$514)*(('📋 Raw Data'!$A$2:$A$514)=B77))</f>
        <v>6624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customFormat="false" ht="15.75" hidden="false" customHeight="true" outlineLevel="0" collapsed="false">
      <c r="A78" s="11"/>
      <c r="B78" s="57" t="n">
        <v>46157</v>
      </c>
      <c r="C78" s="58" t="str">
        <f aca="false">TEXT(B78,"MMM")</f>
        <v>May</v>
      </c>
      <c r="D78" s="59" t="n">
        <f aca="false">SUMPRODUCT(('📋 Raw Data'!$K$2:$K$514)*(('📋 Raw Data'!$A$2:$A$514)=B78))</f>
        <v>162840</v>
      </c>
      <c r="E78" s="60" t="n">
        <f aca="false">SUMPRODUCT(('📋 Raw Data'!$H$2:$H$514)*(('📋 Raw Data'!$A$2:$A$514)=B78))</f>
        <v>5428</v>
      </c>
      <c r="F78" s="60" t="n">
        <f aca="false">SUMPRODUCT(('📋 Raw Data'!$I$2:$I$514)*(('📋 Raw Data'!$A$2:$A$514)=B78))</f>
        <v>199548</v>
      </c>
      <c r="G78" s="60" t="n">
        <f aca="false">SUMPRODUCT(('📋 Raw Data'!$F$2:$F$514)*(('📋 Raw Data'!$A$2:$A$514)=B78))</f>
        <v>4876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customFormat="false" ht="15.75" hidden="false" customHeight="true" outlineLevel="0" collapsed="false">
      <c r="A79" s="11"/>
      <c r="B79" s="57" t="n">
        <v>46158</v>
      </c>
      <c r="C79" s="58" t="str">
        <f aca="false">TEXT(B79,"MMM")</f>
        <v>May</v>
      </c>
      <c r="D79" s="59" t="n">
        <f aca="false">SUMPRODUCT(('📋 Raw Data'!$K$2:$K$514)*(('📋 Raw Data'!$A$2:$A$514)=B79))</f>
        <v>514740</v>
      </c>
      <c r="E79" s="60" t="n">
        <f aca="false">SUMPRODUCT(('📋 Raw Data'!$H$2:$H$514)*(('📋 Raw Data'!$A$2:$A$514)=B79))</f>
        <v>6808</v>
      </c>
      <c r="F79" s="60" t="n">
        <f aca="false">SUMPRODUCT(('📋 Raw Data'!$I$2:$I$514)*(('📋 Raw Data'!$A$2:$A$514)=B79))</f>
        <v>94852</v>
      </c>
      <c r="G79" s="60" t="n">
        <f aca="false">SUMPRODUCT(('📋 Raw Data'!$F$2:$F$514)*(('📋 Raw Data'!$A$2:$A$514)=B79))</f>
        <v>6532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customFormat="false" ht="15.75" hidden="false" customHeight="true" outlineLevel="0" collapsed="false">
      <c r="A80" s="11"/>
      <c r="B80" s="57" t="n">
        <v>46159</v>
      </c>
      <c r="C80" s="58" t="str">
        <f aca="false">TEXT(B80,"MMM")</f>
        <v>May</v>
      </c>
      <c r="D80" s="59" t="n">
        <f aca="false">SUMPRODUCT(('📋 Raw Data'!$K$2:$K$514)*(('📋 Raw Data'!$A$2:$A$514)=B80))</f>
        <v>358800</v>
      </c>
      <c r="E80" s="60" t="n">
        <f aca="false">SUMPRODUCT(('📋 Raw Data'!$H$2:$H$514)*(('📋 Raw Data'!$A$2:$A$514)=B80))</f>
        <v>2484</v>
      </c>
      <c r="F80" s="60" t="n">
        <f aca="false">SUMPRODUCT(('📋 Raw Data'!$I$2:$I$514)*(('📋 Raw Data'!$A$2:$A$514)=B80))</f>
        <v>95220</v>
      </c>
      <c r="G80" s="60" t="n">
        <f aca="false">SUMPRODUCT(('📋 Raw Data'!$F$2:$F$514)*(('📋 Raw Data'!$A$2:$A$514)=B80))</f>
        <v>6440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customFormat="false" ht="15.75" hidden="false" customHeight="true" outlineLevel="0" collapsed="false">
      <c r="A81" s="11"/>
      <c r="B81" s="57" t="n">
        <v>46160</v>
      </c>
      <c r="C81" s="58" t="str">
        <f aca="false">TEXT(B81,"MMM")</f>
        <v>May</v>
      </c>
      <c r="D81" s="59" t="n">
        <f aca="false">SUMPRODUCT(('📋 Raw Data'!$K$2:$K$514)*(('📋 Raw Data'!$A$2:$A$514)=B81))</f>
        <v>402500</v>
      </c>
      <c r="E81" s="60" t="n">
        <f aca="false">SUMPRODUCT(('📋 Raw Data'!$H$2:$H$514)*(('📋 Raw Data'!$A$2:$A$514)=B81))</f>
        <v>7176</v>
      </c>
      <c r="F81" s="60" t="n">
        <f aca="false">SUMPRODUCT(('📋 Raw Data'!$I$2:$I$514)*(('📋 Raw Data'!$A$2:$A$514)=B81))</f>
        <v>172316</v>
      </c>
      <c r="G81" s="60" t="n">
        <f aca="false">SUMPRODUCT(('📋 Raw Data'!$F$2:$F$514)*(('📋 Raw Data'!$A$2:$A$514)=B81))</f>
        <v>7084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customFormat="false" ht="15.75" hidden="false" customHeight="true" outlineLevel="0" collapsed="false">
      <c r="A82" s="11"/>
      <c r="B82" s="57" t="n">
        <v>46161</v>
      </c>
      <c r="C82" s="58" t="str">
        <f aca="false">TEXT(B82,"MMM")</f>
        <v>May</v>
      </c>
      <c r="D82" s="59" t="n">
        <f aca="false">SUMPRODUCT(('📋 Raw Data'!$K$2:$K$514)*(('📋 Raw Data'!$A$2:$A$514)=B82))</f>
        <v>316480</v>
      </c>
      <c r="E82" s="60" t="n">
        <f aca="false">SUMPRODUCT(('📋 Raw Data'!$H$2:$H$514)*(('📋 Raw Data'!$A$2:$A$514)=B82))</f>
        <v>6532</v>
      </c>
      <c r="F82" s="60" t="n">
        <f aca="false">SUMPRODUCT(('📋 Raw Data'!$I$2:$I$514)*(('📋 Raw Data'!$A$2:$A$514)=B82))</f>
        <v>257784</v>
      </c>
      <c r="G82" s="60" t="n">
        <f aca="false">SUMPRODUCT(('📋 Raw Data'!$F$2:$F$514)*(('📋 Raw Data'!$A$2:$A$514)=B82))</f>
        <v>7084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customFormat="false" ht="15.75" hidden="false" customHeight="true" outlineLevel="0" collapsed="false">
      <c r="A83" s="11"/>
      <c r="B83" s="57" t="n">
        <v>46162</v>
      </c>
      <c r="C83" s="58" t="str">
        <f aca="false">TEXT(B83,"MMM")</f>
        <v>May</v>
      </c>
      <c r="D83" s="59" t="n">
        <f aca="false">SUMPRODUCT(('📋 Raw Data'!$K$2:$K$514)*(('📋 Raw Data'!$A$2:$A$514)=B83))</f>
        <v>333500</v>
      </c>
      <c r="E83" s="60" t="n">
        <f aca="false">SUMPRODUCT(('📋 Raw Data'!$H$2:$H$514)*(('📋 Raw Data'!$A$2:$A$514)=B83))</f>
        <v>4416</v>
      </c>
      <c r="F83" s="60" t="n">
        <f aca="false">SUMPRODUCT(('📋 Raw Data'!$I$2:$I$514)*(('📋 Raw Data'!$A$2:$A$514)=B83))</f>
        <v>213624</v>
      </c>
      <c r="G83" s="60" t="n">
        <f aca="false">SUMPRODUCT(('📋 Raw Data'!$F$2:$F$514)*(('📋 Raw Data'!$A$2:$A$514)=B83))</f>
        <v>5060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customFormat="false" ht="15.75" hidden="false" customHeight="true" outlineLevel="0" collapsed="false">
      <c r="A84" s="11"/>
      <c r="B84" s="57" t="n">
        <v>46163</v>
      </c>
      <c r="C84" s="58" t="str">
        <f aca="false">TEXT(B84,"MMM")</f>
        <v>May</v>
      </c>
      <c r="D84" s="59" t="n">
        <f aca="false">SUMPRODUCT(('📋 Raw Data'!$K$2:$K$514)*(('📋 Raw Data'!$A$2:$A$514)=B84))</f>
        <v>260820</v>
      </c>
      <c r="E84" s="60" t="n">
        <f aca="false">SUMPRODUCT(('📋 Raw Data'!$H$2:$H$514)*(('📋 Raw Data'!$A$2:$A$514)=B84))</f>
        <v>5244</v>
      </c>
      <c r="F84" s="60" t="n">
        <f aca="false">SUMPRODUCT(('📋 Raw Data'!$I$2:$I$514)*(('📋 Raw Data'!$A$2:$A$514)=B84))</f>
        <v>125488</v>
      </c>
      <c r="G84" s="60" t="n">
        <f aca="false">SUMPRODUCT(('📋 Raw Data'!$F$2:$F$514)*(('📋 Raw Data'!$A$2:$A$514)=B84))</f>
        <v>3128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customFormat="false" ht="15.75" hidden="false" customHeight="true" outlineLevel="0" collapsed="false">
      <c r="A85" s="11"/>
      <c r="B85" s="57" t="n">
        <v>46164</v>
      </c>
      <c r="C85" s="58" t="str">
        <f aca="false">TEXT(B85,"MMM")</f>
        <v>May</v>
      </c>
      <c r="D85" s="59" t="n">
        <f aca="false">SUMPRODUCT(('📋 Raw Data'!$K$2:$K$514)*(('📋 Raw Data'!$A$2:$A$514)=B85))</f>
        <v>247480</v>
      </c>
      <c r="E85" s="60" t="n">
        <f aca="false">SUMPRODUCT(('📋 Raw Data'!$H$2:$H$514)*(('📋 Raw Data'!$A$2:$A$514)=B85))</f>
        <v>5060</v>
      </c>
      <c r="F85" s="60" t="n">
        <f aca="false">SUMPRODUCT(('📋 Raw Data'!$I$2:$I$514)*(('📋 Raw Data'!$A$2:$A$514)=B85))</f>
        <v>145728</v>
      </c>
      <c r="G85" s="60" t="n">
        <f aca="false">SUMPRODUCT(('📋 Raw Data'!$F$2:$F$514)*(('📋 Raw Data'!$A$2:$A$514)=B85))</f>
        <v>3680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customFormat="false" ht="15.75" hidden="false" customHeight="true" outlineLevel="0" collapsed="false">
      <c r="A86" s="11"/>
      <c r="B86" s="57" t="n">
        <v>46165</v>
      </c>
      <c r="C86" s="58" t="str">
        <f aca="false">TEXT(B86,"MMM")</f>
        <v>May</v>
      </c>
      <c r="D86" s="59" t="n">
        <f aca="false">SUMPRODUCT(('📋 Raw Data'!$K$2:$K$514)*(('📋 Raw Data'!$A$2:$A$514)=B86))</f>
        <v>394680</v>
      </c>
      <c r="E86" s="60" t="n">
        <f aca="false">SUMPRODUCT(('📋 Raw Data'!$H$2:$H$514)*(('📋 Raw Data'!$A$2:$A$514)=B86))</f>
        <v>5244</v>
      </c>
      <c r="F86" s="60" t="n">
        <f aca="false">SUMPRODUCT(('📋 Raw Data'!$I$2:$I$514)*(('📋 Raw Data'!$A$2:$A$514)=B86))</f>
        <v>58972</v>
      </c>
      <c r="G86" s="60" t="n">
        <f aca="false">SUMPRODUCT(('📋 Raw Data'!$F$2:$F$514)*(('📋 Raw Data'!$A$2:$A$514)=B86))</f>
        <v>6624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customFormat="false" ht="15.75" hidden="false" customHeight="true" outlineLevel="0" collapsed="false">
      <c r="A87" s="11"/>
      <c r="B87" s="57" t="n">
        <v>46166</v>
      </c>
      <c r="C87" s="58" t="str">
        <f aca="false">TEXT(B87,"MMM")</f>
        <v>May</v>
      </c>
      <c r="D87" s="59" t="n">
        <f aca="false">SUMPRODUCT(('📋 Raw Data'!$K$2:$K$514)*(('📋 Raw Data'!$A$2:$A$514)=B87))</f>
        <v>333040</v>
      </c>
      <c r="E87" s="60" t="n">
        <f aca="false">SUMPRODUCT(('📋 Raw Data'!$H$2:$H$514)*(('📋 Raw Data'!$A$2:$A$514)=B87))</f>
        <v>9936</v>
      </c>
      <c r="F87" s="60" t="n">
        <f aca="false">SUMPRODUCT(('📋 Raw Data'!$I$2:$I$514)*(('📋 Raw Data'!$A$2:$A$514)=B87))</f>
        <v>348864</v>
      </c>
      <c r="G87" s="60" t="n">
        <f aca="false">SUMPRODUCT(('📋 Raw Data'!$F$2:$F$514)*(('📋 Raw Data'!$A$2:$A$514)=B87))</f>
        <v>7544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customFormat="false" ht="15.75" hidden="false" customHeight="true" outlineLevel="0" collapsed="false">
      <c r="A88" s="11"/>
      <c r="B88" s="57" t="n">
        <v>46167</v>
      </c>
      <c r="C88" s="58" t="str">
        <f aca="false">TEXT(B88,"MMM")</f>
        <v>May</v>
      </c>
      <c r="D88" s="59" t="n">
        <f aca="false">SUMPRODUCT(('📋 Raw Data'!$K$2:$K$514)*(('📋 Raw Data'!$A$2:$A$514)=B88))</f>
        <v>307740</v>
      </c>
      <c r="E88" s="60" t="n">
        <f aca="false">SUMPRODUCT(('📋 Raw Data'!$H$2:$H$514)*(('📋 Raw Data'!$A$2:$A$514)=B88))</f>
        <v>2668</v>
      </c>
      <c r="F88" s="60" t="n">
        <f aca="false">SUMPRODUCT(('📋 Raw Data'!$I$2:$I$514)*(('📋 Raw Data'!$A$2:$A$514)=B88))</f>
        <v>65320</v>
      </c>
      <c r="G88" s="60" t="n">
        <f aca="false">SUMPRODUCT(('📋 Raw Data'!$F$2:$F$514)*(('📋 Raw Data'!$A$2:$A$514)=B88))</f>
        <v>5244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customFormat="false" ht="15.75" hidden="false" customHeight="true" outlineLevel="0" collapsed="false">
      <c r="A89" s="11"/>
      <c r="B89" s="57" t="n">
        <v>46168</v>
      </c>
      <c r="C89" s="58" t="str">
        <f aca="false">TEXT(B89,"MMM")</f>
        <v>May</v>
      </c>
      <c r="D89" s="59" t="n">
        <f aca="false">SUMPRODUCT(('📋 Raw Data'!$K$2:$K$514)*(('📋 Raw Data'!$A$2:$A$514)=B89))</f>
        <v>44620</v>
      </c>
      <c r="E89" s="60" t="n">
        <f aca="false">SUMPRODUCT(('📋 Raw Data'!$H$2:$H$514)*(('📋 Raw Data'!$A$2:$A$514)=B89))</f>
        <v>4140</v>
      </c>
      <c r="F89" s="60" t="n">
        <f aca="false">SUMPRODUCT(('📋 Raw Data'!$I$2:$I$514)*(('📋 Raw Data'!$A$2:$A$514)=B89))</f>
        <v>145084</v>
      </c>
      <c r="G89" s="60" t="n">
        <f aca="false">SUMPRODUCT(('📋 Raw Data'!$F$2:$F$514)*(('📋 Raw Data'!$A$2:$A$514)=B89))</f>
        <v>828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customFormat="false" ht="15.75" hidden="false" customHeight="true" outlineLevel="0" collapsed="false">
      <c r="A90" s="11"/>
      <c r="B90" s="57" t="n">
        <v>46169</v>
      </c>
      <c r="C90" s="58" t="str">
        <f aca="false">TEXT(B90,"MMM")</f>
        <v>May</v>
      </c>
      <c r="D90" s="59" t="n">
        <f aca="false">SUMPRODUCT(('📋 Raw Data'!$K$2:$K$514)*(('📋 Raw Data'!$A$2:$A$514)=B90))</f>
        <v>103500</v>
      </c>
      <c r="E90" s="60" t="n">
        <f aca="false">SUMPRODUCT(('📋 Raw Data'!$H$2:$H$514)*(('📋 Raw Data'!$A$2:$A$514)=B90))</f>
        <v>3220</v>
      </c>
      <c r="F90" s="60" t="n">
        <f aca="false">SUMPRODUCT(('📋 Raw Data'!$I$2:$I$514)*(('📋 Raw Data'!$A$2:$A$514)=B90))</f>
        <v>121440</v>
      </c>
      <c r="G90" s="60" t="n">
        <f aca="false">SUMPRODUCT(('📋 Raw Data'!$F$2:$F$514)*(('📋 Raw Data'!$A$2:$A$514)=B90))</f>
        <v>2852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customFormat="false" ht="15.75" hidden="false" customHeight="true" outlineLevel="0" collapsed="false">
      <c r="A91" s="11"/>
      <c r="B91" s="57" t="n">
        <v>46170</v>
      </c>
      <c r="C91" s="58" t="str">
        <f aca="false">TEXT(B91,"MMM")</f>
        <v>May</v>
      </c>
      <c r="D91" s="59" t="n">
        <f aca="false">SUMPRODUCT(('📋 Raw Data'!$K$2:$K$514)*(('📋 Raw Data'!$A$2:$A$514)=B91))</f>
        <v>255760</v>
      </c>
      <c r="E91" s="60" t="n">
        <f aca="false">SUMPRODUCT(('📋 Raw Data'!$H$2:$H$514)*(('📋 Raw Data'!$A$2:$A$514)=B91))</f>
        <v>9568</v>
      </c>
      <c r="F91" s="60" t="n">
        <f aca="false">SUMPRODUCT(('📋 Raw Data'!$I$2:$I$514)*(('📋 Raw Data'!$A$2:$A$514)=B91))</f>
        <v>433228</v>
      </c>
      <c r="G91" s="60" t="n">
        <f aca="false">SUMPRODUCT(('📋 Raw Data'!$F$2:$F$514)*(('📋 Raw Data'!$A$2:$A$514)=B91))</f>
        <v>6072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customFormat="false" ht="15.75" hidden="false" customHeight="true" outlineLevel="0" collapsed="false">
      <c r="A92" s="11"/>
      <c r="B92" s="57" t="n">
        <v>46171</v>
      </c>
      <c r="C92" s="58" t="str">
        <f aca="false">TEXT(B92,"MMM")</f>
        <v>May</v>
      </c>
      <c r="D92" s="59" t="n">
        <f aca="false">SUMPRODUCT(('📋 Raw Data'!$K$2:$K$514)*(('📋 Raw Data'!$A$2:$A$514)=B92))</f>
        <v>217120</v>
      </c>
      <c r="E92" s="60" t="n">
        <f aca="false">SUMPRODUCT(('📋 Raw Data'!$H$2:$H$514)*(('📋 Raw Data'!$A$2:$A$514)=B92))</f>
        <v>3680</v>
      </c>
      <c r="F92" s="60" t="n">
        <f aca="false">SUMPRODUCT(('📋 Raw Data'!$I$2:$I$514)*(('📋 Raw Data'!$A$2:$A$514)=B92))</f>
        <v>52440</v>
      </c>
      <c r="G92" s="60" t="n">
        <f aca="false">SUMPRODUCT(('📋 Raw Data'!$F$2:$F$514)*(('📋 Raw Data'!$A$2:$A$514)=B92))</f>
        <v>3680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customFormat="false" ht="15.75" hidden="false" customHeight="true" outlineLevel="0" collapsed="false">
      <c r="A93" s="11"/>
      <c r="B93" s="57" t="n">
        <v>46172</v>
      </c>
      <c r="C93" s="58" t="str">
        <f aca="false">TEXT(B93,"MMM")</f>
        <v>May</v>
      </c>
      <c r="D93" s="59" t="n">
        <f aca="false">SUMPRODUCT(('📋 Raw Data'!$K$2:$K$514)*(('📋 Raw Data'!$A$2:$A$514)=B93))</f>
        <v>213900</v>
      </c>
      <c r="E93" s="60" t="n">
        <f aca="false">SUMPRODUCT(('📋 Raw Data'!$H$2:$H$514)*(('📋 Raw Data'!$A$2:$A$514)=B93))</f>
        <v>3496</v>
      </c>
      <c r="F93" s="60" t="n">
        <f aca="false">SUMPRODUCT(('📋 Raw Data'!$I$2:$I$514)*(('📋 Raw Data'!$A$2:$A$514)=B93))</f>
        <v>140760</v>
      </c>
      <c r="G93" s="60" t="n">
        <f aca="false">SUMPRODUCT(('📋 Raw Data'!$F$2:$F$514)*(('📋 Raw Data'!$A$2:$A$514)=B93))</f>
        <v>4876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customFormat="false" ht="15.75" hidden="false" customHeight="true" outlineLevel="0" collapsed="false">
      <c r="A94" s="11"/>
      <c r="B94" s="57" t="n">
        <v>46173</v>
      </c>
      <c r="C94" s="58" t="str">
        <f aca="false">TEXT(B94,"MMM")</f>
        <v>May</v>
      </c>
      <c r="D94" s="59" t="n">
        <f aca="false">SUMPRODUCT(('📋 Raw Data'!$K$2:$K$514)*(('📋 Raw Data'!$A$2:$A$514)=B94))</f>
        <v>454020</v>
      </c>
      <c r="E94" s="60" t="n">
        <f aca="false">SUMPRODUCT(('📋 Raw Data'!$H$2:$H$514)*(('📋 Raw Data'!$A$2:$A$514)=B94))</f>
        <v>5244</v>
      </c>
      <c r="F94" s="60" t="n">
        <f aca="false">SUMPRODUCT(('📋 Raw Data'!$I$2:$I$514)*(('📋 Raw Data'!$A$2:$A$514)=B94))</f>
        <v>122820</v>
      </c>
      <c r="G94" s="60" t="n">
        <f aca="false">SUMPRODUCT(('📋 Raw Data'!$F$2:$F$514)*(('📋 Raw Data'!$A$2:$A$514)=B94))</f>
        <v>6808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customFormat="false" ht="1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customFormat="false" ht="1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customFormat="false" ht="1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customFormat="false" ht="1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customFormat="false" ht="1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customFormat="false" ht="1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customFormat="false" ht="1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customFormat="false" ht="1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customFormat="false" ht="1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customFormat="false" ht="1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customFormat="false" ht="1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5" min="3" style="1" width="16"/>
    <col collapsed="false" customWidth="true" hidden="false" outlineLevel="0" max="7" min="6" style="1" width="13"/>
    <col collapsed="false" customWidth="true" hidden="false" outlineLevel="0" max="9" min="8" style="1" width="14"/>
    <col collapsed="false" customWidth="true" hidden="false" outlineLevel="0" max="10" min="10" style="1" width="11"/>
    <col collapsed="false" customWidth="true" hidden="false" outlineLevel="0" max="11" min="11" style="1" width="2"/>
  </cols>
  <sheetData>
    <row r="1" customFormat="false" ht="7.5" hidden="false" customHeight="true" outlineLevel="0" collapsed="false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36" hidden="false" customHeight="true" outlineLevel="0" collapsed="false">
      <c r="A2" s="11"/>
      <c r="B2" s="41" t="s">
        <v>89</v>
      </c>
      <c r="C2" s="41"/>
      <c r="D2" s="41"/>
      <c r="E2" s="41"/>
      <c r="F2" s="41"/>
      <c r="G2" s="41"/>
      <c r="H2" s="41"/>
      <c r="I2" s="41"/>
      <c r="J2" s="41"/>
      <c r="K2" s="11"/>
      <c r="L2" s="11"/>
      <c r="M2" s="11"/>
    </row>
    <row r="3" customFormat="false" ht="7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customFormat="false" ht="24" hidden="false" customHeight="true" outlineLevel="0" collapsed="false">
      <c r="A4" s="11"/>
      <c r="B4" s="61" t="s">
        <v>90</v>
      </c>
      <c r="C4" s="61"/>
      <c r="D4" s="61"/>
      <c r="E4" s="61"/>
      <c r="F4" s="61"/>
      <c r="G4" s="61"/>
      <c r="H4" s="61"/>
      <c r="I4" s="61"/>
      <c r="J4" s="61"/>
      <c r="K4" s="11"/>
      <c r="L4" s="11"/>
      <c r="M4" s="11"/>
    </row>
    <row r="5" customFormat="false" ht="31.5" hidden="false" customHeight="true" outlineLevel="0" collapsed="false">
      <c r="A5" s="11"/>
      <c r="B5" s="18" t="s">
        <v>91</v>
      </c>
      <c r="C5" s="18" t="s">
        <v>79</v>
      </c>
      <c r="D5" s="18" t="s">
        <v>80</v>
      </c>
      <c r="E5" s="18" t="s">
        <v>81</v>
      </c>
      <c r="F5" s="18" t="s">
        <v>82</v>
      </c>
      <c r="G5" s="18" t="s">
        <v>83</v>
      </c>
      <c r="H5" s="18" t="s">
        <v>84</v>
      </c>
      <c r="I5" s="18" t="s">
        <v>85</v>
      </c>
      <c r="J5" s="18" t="s">
        <v>92</v>
      </c>
      <c r="K5" s="11"/>
      <c r="L5" s="11"/>
      <c r="M5" s="11"/>
    </row>
    <row r="6" customFormat="false" ht="21.75" hidden="false" customHeight="true" outlineLevel="0" collapsed="false">
      <c r="A6" s="11"/>
      <c r="B6" s="62" t="s">
        <v>13</v>
      </c>
      <c r="C6" s="24" t="n">
        <f aca="false">SUMPRODUCT(('📋 Raw Data'!$K$2:$K$514)*(YEAR('📋 Raw Data'!$A$2:$A$514)=2026)*(MONTH('📋 Raw Data'!$A$2:$A$514)=3)*('📋 Raw Data'!$E$2:$E$514="M-Pesa"))</f>
        <v>2963780</v>
      </c>
      <c r="D6" s="24" t="n">
        <f aca="false">SUMPRODUCT(('📋 Raw Data'!$K$2:$K$514)*(YEAR('📋 Raw Data'!$A$2:$A$514)=2026)*(MONTH('📋 Raw Data'!$A$2:$A$514)=4)*('📋 Raw Data'!$E$2:$E$514="M-Pesa"))</f>
        <v>2950900</v>
      </c>
      <c r="E6" s="24" t="n">
        <f aca="false">SUMPRODUCT(('📋 Raw Data'!$K$2:$K$514)*(YEAR('📋 Raw Data'!$A$2:$A$514)=2026)*(MONTH('📋 Raw Data'!$A$2:$A$514)=5)*('📋 Raw Data'!$E$2:$E$514="M-Pesa"))</f>
        <v>3825820</v>
      </c>
      <c r="F6" s="25" t="n">
        <f aca="false">D6/C6-1</f>
        <v>-0.00434580164519638</v>
      </c>
      <c r="G6" s="25" t="n">
        <f aca="false">E6/D6-1</f>
        <v>0.296492595479345</v>
      </c>
      <c r="H6" s="26" t="n">
        <f aca="false">D6-C6</f>
        <v>-12880</v>
      </c>
      <c r="I6" s="26" t="n">
        <f aca="false">E6-D6</f>
        <v>874920</v>
      </c>
      <c r="J6" s="25" t="n">
        <f aca="false">E6/$E$9</f>
        <v>0.398133078027765</v>
      </c>
      <c r="K6" s="11"/>
      <c r="L6" s="11"/>
      <c r="M6" s="11"/>
    </row>
    <row r="7" customFormat="false" ht="21.75" hidden="false" customHeight="true" outlineLevel="0" collapsed="false">
      <c r="A7" s="11"/>
      <c r="B7" s="46" t="s">
        <v>20</v>
      </c>
      <c r="C7" s="28" t="n">
        <f aca="false">SUMPRODUCT(('📋 Raw Data'!$K$2:$K$514)*(YEAR('📋 Raw Data'!$A$2:$A$514)=2026)*(MONTH('📋 Raw Data'!$A$2:$A$514)=3)*('📋 Raw Data'!$E$2:$E$514="Numerário"))</f>
        <v>2971140</v>
      </c>
      <c r="D7" s="28" t="n">
        <f aca="false">SUMPRODUCT(('📋 Raw Data'!$K$2:$K$514)*(YEAR('📋 Raw Data'!$A$2:$A$514)=2026)*(MONTH('📋 Raw Data'!$A$2:$A$514)=4)*('📋 Raw Data'!$E$2:$E$514="Numerário"))</f>
        <v>4208080</v>
      </c>
      <c r="E7" s="28" t="n">
        <f aca="false">SUMPRODUCT(('📋 Raw Data'!$K$2:$K$514)*(YEAR('📋 Raw Data'!$A$2:$A$514)=2026)*(MONTH('📋 Raw Data'!$A$2:$A$514)=5)*('📋 Raw Data'!$E$2:$E$514="Numerário"))</f>
        <v>3124320</v>
      </c>
      <c r="F7" s="29" t="n">
        <f aca="false">D7/C7-1</f>
        <v>0.41631831552872</v>
      </c>
      <c r="G7" s="29" t="n">
        <f aca="false">E7/D7-1</f>
        <v>-0.257542632269349</v>
      </c>
      <c r="H7" s="30" t="n">
        <f aca="false">D7-C7</f>
        <v>1236940</v>
      </c>
      <c r="I7" s="30" t="n">
        <f aca="false">E7-D7</f>
        <v>-1083760</v>
      </c>
      <c r="J7" s="29" t="n">
        <f aca="false">E7/$E$9</f>
        <v>0.32513164193394</v>
      </c>
      <c r="K7" s="11"/>
      <c r="L7" s="11"/>
      <c r="M7" s="11"/>
    </row>
    <row r="8" customFormat="false" ht="21.75" hidden="false" customHeight="true" outlineLevel="0" collapsed="false">
      <c r="A8" s="11"/>
      <c r="B8" s="47" t="s">
        <v>16</v>
      </c>
      <c r="C8" s="24" t="n">
        <f aca="false">SUMPRODUCT(('📋 Raw Data'!$K$2:$K$514)*(YEAR('📋 Raw Data'!$A$2:$A$514)=2026)*(MONTH('📋 Raw Data'!$A$2:$A$514)=3)*('📋 Raw Data'!$E$2:$E$514="e-Mola"))</f>
        <v>4462920</v>
      </c>
      <c r="D8" s="24" t="n">
        <f aca="false">SUMPRODUCT(('📋 Raw Data'!$K$2:$K$514)*(YEAR('📋 Raw Data'!$A$2:$A$514)=2026)*(MONTH('📋 Raw Data'!$A$2:$A$514)=4)*('📋 Raw Data'!$E$2:$E$514="e-Mola"))</f>
        <v>2930660</v>
      </c>
      <c r="E8" s="24" t="n">
        <f aca="false">SUMPRODUCT(('📋 Raw Data'!$K$2:$K$514)*(YEAR('📋 Raw Data'!$A$2:$A$514)=2026)*(MONTH('📋 Raw Data'!$A$2:$A$514)=5)*('📋 Raw Data'!$E$2:$E$514="e-Mola"))</f>
        <v>2659260</v>
      </c>
      <c r="F8" s="25" t="n">
        <f aca="false">D8/C8-1</f>
        <v>-0.343331271902701</v>
      </c>
      <c r="G8" s="25" t="n">
        <f aca="false">E8/D8-1</f>
        <v>-0.0926071260398682</v>
      </c>
      <c r="H8" s="26" t="n">
        <f aca="false">D8-C8</f>
        <v>-1532260</v>
      </c>
      <c r="I8" s="26" t="n">
        <f aca="false">E8-D8</f>
        <v>-271400</v>
      </c>
      <c r="J8" s="25" t="n">
        <f aca="false">E8/$E$9</f>
        <v>0.276735280038296</v>
      </c>
      <c r="K8" s="11"/>
      <c r="L8" s="11"/>
      <c r="M8" s="11"/>
    </row>
    <row r="9" customFormat="false" ht="21.75" hidden="false" customHeight="true" outlineLevel="0" collapsed="false">
      <c r="A9" s="11"/>
      <c r="B9" s="48" t="s">
        <v>87</v>
      </c>
      <c r="C9" s="22" t="n">
        <f aca="false">SUM(C6:C8)</f>
        <v>10397840</v>
      </c>
      <c r="D9" s="22" t="n">
        <f aca="false">SUM(D6:D8)</f>
        <v>10089640</v>
      </c>
      <c r="E9" s="22" t="n">
        <f aca="false">SUM(E6:E8)</f>
        <v>9609400</v>
      </c>
      <c r="F9" s="21" t="n">
        <f aca="false">D9/C9-1</f>
        <v>-0.0296407715448593</v>
      </c>
      <c r="G9" s="21" t="n">
        <f aca="false">E9/D9-1</f>
        <v>-0.0475973374669463</v>
      </c>
      <c r="H9" s="22" t="n">
        <f aca="false">D9-C9</f>
        <v>-308200</v>
      </c>
      <c r="I9" s="22" t="n">
        <f aca="false">E9-D9</f>
        <v>-480240</v>
      </c>
      <c r="J9" s="11"/>
      <c r="K9" s="11"/>
      <c r="L9" s="11"/>
      <c r="M9" s="11"/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</sheetData>
  <mergeCells count="2">
    <mergeCell ref="B2:J2"/>
    <mergeCell ref="B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90E"/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7" min="6" style="1" width="13"/>
    <col collapsed="false" customWidth="true" hidden="false" outlineLevel="0" max="8" min="8" style="1" width="2"/>
  </cols>
  <sheetData>
    <row r="1" customFormat="false" ht="7.5" hidden="false" customHeight="true" outlineLevel="0" collapsed="false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36" hidden="false" customHeight="true" outlineLevel="0" collapsed="false">
      <c r="A2" s="11"/>
      <c r="B2" s="41" t="s">
        <v>93</v>
      </c>
      <c r="C2" s="41"/>
      <c r="D2" s="41"/>
      <c r="E2" s="41"/>
      <c r="F2" s="41"/>
      <c r="G2" s="41"/>
      <c r="H2" s="11"/>
      <c r="I2" s="11"/>
      <c r="J2" s="11"/>
      <c r="K2" s="11"/>
      <c r="L2" s="11"/>
      <c r="M2" s="11"/>
    </row>
    <row r="3" customFormat="false" ht="7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customFormat="false" ht="24" hidden="false" customHeight="true" outlineLevel="0" collapsed="false">
      <c r="A4" s="11"/>
      <c r="B4" s="14" t="s">
        <v>94</v>
      </c>
      <c r="C4" s="14"/>
      <c r="D4" s="14"/>
      <c r="E4" s="14"/>
      <c r="F4" s="14"/>
      <c r="G4" s="14"/>
      <c r="H4" s="11"/>
      <c r="I4" s="11"/>
      <c r="J4" s="11"/>
      <c r="K4" s="11"/>
      <c r="L4" s="11"/>
      <c r="M4" s="11"/>
    </row>
    <row r="5" customFormat="false" ht="27.75" hidden="false" customHeight="true" outlineLevel="0" collapsed="false">
      <c r="A5" s="11"/>
      <c r="B5" s="18" t="s">
        <v>3</v>
      </c>
      <c r="C5" s="18" t="s">
        <v>95</v>
      </c>
      <c r="D5" s="18" t="s">
        <v>96</v>
      </c>
      <c r="E5" s="18" t="s">
        <v>97</v>
      </c>
      <c r="F5" s="18" t="s">
        <v>83</v>
      </c>
      <c r="G5" s="18" t="s">
        <v>85</v>
      </c>
      <c r="H5" s="11"/>
      <c r="I5" s="11"/>
      <c r="J5" s="11"/>
      <c r="K5" s="11"/>
      <c r="L5" s="11"/>
      <c r="M5" s="11"/>
    </row>
    <row r="6" customFormat="false" ht="21.75" hidden="false" customHeight="true" outlineLevel="0" collapsed="false">
      <c r="A6" s="11"/>
      <c r="B6" s="43" t="s">
        <v>98</v>
      </c>
      <c r="C6" s="24" t="n">
        <f aca="false">SUMPRODUCT(('📋 Raw Data'!$K$2:$K$514)*(YEAR('📋 Raw Data'!$A$2:$A$514)=2026)*(MONTH('📋 Raw Data'!$A$2:$A$514)=3)*('📋 Raw Data'!$D$2:$D$514="Machava - Marracuene"))</f>
        <v>1754900</v>
      </c>
      <c r="D6" s="24" t="n">
        <f aca="false">SUMPRODUCT(('📋 Raw Data'!$K$2:$K$514)*(YEAR('📋 Raw Data'!$A$2:$A$514)=2026)*(MONTH('📋 Raw Data'!$A$2:$A$514)=4)*('📋 Raw Data'!$D$2:$D$514="Machava - Marracuene"))</f>
        <v>1872660</v>
      </c>
      <c r="E6" s="24" t="n">
        <f aca="false">SUMPRODUCT(('📋 Raw Data'!$K$2:$K$514)*(YEAR('📋 Raw Data'!$A$2:$A$514)=2026)*(MONTH('📋 Raw Data'!$A$2:$A$514)=5)*('📋 Raw Data'!$D$2:$D$514="Machava - Marracuene"))</f>
        <v>1925100</v>
      </c>
      <c r="F6" s="25" t="n">
        <f aca="false">E6/D6-1</f>
        <v>0.0280029476787029</v>
      </c>
      <c r="G6" s="26" t="n">
        <f aca="false">E6-D6</f>
        <v>52440</v>
      </c>
      <c r="H6" s="11"/>
      <c r="I6" s="11"/>
      <c r="J6" s="11"/>
      <c r="K6" s="11"/>
      <c r="L6" s="11"/>
      <c r="M6" s="11"/>
    </row>
    <row r="7" customFormat="false" ht="21.75" hidden="false" customHeight="true" outlineLevel="0" collapsed="false">
      <c r="A7" s="11"/>
      <c r="B7" s="44" t="s">
        <v>99</v>
      </c>
      <c r="C7" s="28" t="n">
        <f aca="false">SUMPRODUCT(('📋 Raw Data'!$K$2:$K$514)*(YEAR('📋 Raw Data'!$A$2:$A$514)=2026)*(MONTH('📋 Raw Data'!$A$2:$A$514)=3)*('📋 Raw Data'!$D$2:$D$514="Maputo Centro - KaMavota"))</f>
        <v>2069080</v>
      </c>
      <c r="D7" s="28" t="n">
        <f aca="false">SUMPRODUCT(('📋 Raw Data'!$K$2:$K$514)*(YEAR('📋 Raw Data'!$A$2:$A$514)=2026)*(MONTH('📋 Raw Data'!$A$2:$A$514)=4)*('📋 Raw Data'!$D$2:$D$514="Maputo Centro - KaMavota"))</f>
        <v>3241620</v>
      </c>
      <c r="E7" s="28" t="n">
        <f aca="false">SUMPRODUCT(('📋 Raw Data'!$K$2:$K$514)*(YEAR('📋 Raw Data'!$A$2:$A$514)=2026)*(MONTH('📋 Raw Data'!$A$2:$A$514)=5)*('📋 Raw Data'!$D$2:$D$514="Maputo Centro - KaMavota"))</f>
        <v>1742020</v>
      </c>
      <c r="F7" s="29" t="n">
        <f aca="false">E7/D7-1</f>
        <v>-0.462608202071804</v>
      </c>
      <c r="G7" s="30" t="n">
        <f aca="false">E7-D7</f>
        <v>-1499600</v>
      </c>
      <c r="H7" s="11"/>
      <c r="I7" s="11"/>
      <c r="J7" s="11"/>
      <c r="K7" s="11"/>
      <c r="L7" s="11"/>
      <c r="M7" s="11"/>
    </row>
    <row r="8" customFormat="false" ht="21.75" hidden="false" customHeight="true" outlineLevel="0" collapsed="false">
      <c r="A8" s="11"/>
      <c r="B8" s="45" t="s">
        <v>100</v>
      </c>
      <c r="C8" s="24" t="n">
        <f aca="false">SUMPRODUCT(('📋 Raw Data'!$K$2:$K$514)*(YEAR('📋 Raw Data'!$A$2:$A$514)=2026)*(MONTH('📋 Raw Data'!$A$2:$A$514)=3)*('📋 Raw Data'!$D$2:$D$514="Maputo Centro - Machava"))</f>
        <v>1552500</v>
      </c>
      <c r="D8" s="24" t="n">
        <f aca="false">SUMPRODUCT(('📋 Raw Data'!$K$2:$K$514)*(YEAR('📋 Raw Data'!$A$2:$A$514)=2026)*(MONTH('📋 Raw Data'!$A$2:$A$514)=4)*('📋 Raw Data'!$D$2:$D$514="Maputo Centro - Machava"))</f>
        <v>2281600</v>
      </c>
      <c r="E8" s="24" t="n">
        <f aca="false">SUMPRODUCT(('📋 Raw Data'!$K$2:$K$514)*(YEAR('📋 Raw Data'!$A$2:$A$514)=2026)*(MONTH('📋 Raw Data'!$A$2:$A$514)=5)*('📋 Raw Data'!$D$2:$D$514="Maputo Centro - Machava"))</f>
        <v>2110940</v>
      </c>
      <c r="F8" s="25" t="n">
        <f aca="false">E8/D8-1</f>
        <v>-0.0747983870967742</v>
      </c>
      <c r="G8" s="26" t="n">
        <f aca="false">E8-D8</f>
        <v>-170660</v>
      </c>
      <c r="H8" s="11"/>
      <c r="I8" s="11"/>
      <c r="J8" s="11"/>
      <c r="K8" s="11"/>
      <c r="L8" s="11"/>
      <c r="M8" s="11"/>
    </row>
    <row r="9" customFormat="false" ht="21.75" hidden="false" customHeight="true" outlineLevel="0" collapsed="false">
      <c r="A9" s="11"/>
      <c r="B9" s="46" t="s">
        <v>101</v>
      </c>
      <c r="C9" s="28" t="n">
        <f aca="false">SUMPRODUCT(('📋 Raw Data'!$K$2:$K$514)*(YEAR('📋 Raw Data'!$A$2:$A$514)=2026)*(MONTH('📋 Raw Data'!$A$2:$A$514)=3)*('📋 Raw Data'!$D$2:$D$514="Maputo Centro - Matola"))</f>
        <v>1937060</v>
      </c>
      <c r="D9" s="28" t="n">
        <f aca="false">SUMPRODUCT(('📋 Raw Data'!$K$2:$K$514)*(YEAR('📋 Raw Data'!$A$2:$A$514)=2026)*(MONTH('📋 Raw Data'!$A$2:$A$514)=4)*('📋 Raw Data'!$D$2:$D$514="Maputo Centro - Matola"))</f>
        <v>1413580</v>
      </c>
      <c r="E9" s="28" t="n">
        <f aca="false">SUMPRODUCT(('📋 Raw Data'!$K$2:$K$514)*(YEAR('📋 Raw Data'!$A$2:$A$514)=2026)*(MONTH('📋 Raw Data'!$A$2:$A$514)=5)*('📋 Raw Data'!$D$2:$D$514="Maputo Centro - Matola"))</f>
        <v>2113700</v>
      </c>
      <c r="F9" s="29" t="n">
        <f aca="false">E9/D9-1</f>
        <v>0.495281483891962</v>
      </c>
      <c r="G9" s="30" t="n">
        <f aca="false">E9-D9</f>
        <v>700120</v>
      </c>
      <c r="H9" s="11"/>
      <c r="I9" s="11"/>
      <c r="J9" s="11"/>
      <c r="K9" s="11"/>
      <c r="L9" s="11"/>
      <c r="M9" s="11"/>
    </row>
    <row r="10" customFormat="false" ht="21.75" hidden="false" customHeight="true" outlineLevel="0" collapsed="false">
      <c r="A10" s="11"/>
      <c r="B10" s="47" t="s">
        <v>102</v>
      </c>
      <c r="C10" s="24" t="n">
        <f aca="false">SUMPRODUCT(('📋 Raw Data'!$K$2:$K$514)*(YEAR('📋 Raw Data'!$A$2:$A$514)=2026)*(MONTH('📋 Raw Data'!$A$2:$A$514)=3)*('📋 Raw Data'!$D$2:$D$514="Matola - Boane"))</f>
        <v>3084300</v>
      </c>
      <c r="D10" s="24" t="n">
        <f aca="false">SUMPRODUCT(('📋 Raw Data'!$K$2:$K$514)*(YEAR('📋 Raw Data'!$A$2:$A$514)=2026)*(MONTH('📋 Raw Data'!$A$2:$A$514)=4)*('📋 Raw Data'!$D$2:$D$514="Matola - Boane"))</f>
        <v>1280180</v>
      </c>
      <c r="E10" s="24" t="n">
        <f aca="false">SUMPRODUCT(('📋 Raw Data'!$K$2:$K$514)*(YEAR('📋 Raw Data'!$A$2:$A$514)=2026)*(MONTH('📋 Raw Data'!$A$2:$A$514)=5)*('📋 Raw Data'!$D$2:$D$514="Matola - Boane"))</f>
        <v>1717640</v>
      </c>
      <c r="F10" s="25" t="n">
        <f aca="false">E10/D10-1</f>
        <v>0.341717570966583</v>
      </c>
      <c r="G10" s="26" t="n">
        <f aca="false">E10-D10</f>
        <v>437460</v>
      </c>
      <c r="H10" s="11"/>
      <c r="I10" s="11"/>
      <c r="J10" s="11"/>
      <c r="K10" s="11"/>
      <c r="L10" s="11"/>
      <c r="M10" s="11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customFormat="false" ht="36" hidden="false" customHeight="true" outlineLevel="0" collapsed="false">
      <c r="A12" s="11"/>
      <c r="B12" s="63" t="s">
        <v>103</v>
      </c>
      <c r="C12" s="63"/>
      <c r="D12" s="63"/>
      <c r="E12" s="63"/>
      <c r="F12" s="63"/>
      <c r="G12" s="63"/>
      <c r="H12" s="11"/>
      <c r="I12" s="11"/>
      <c r="J12" s="11"/>
      <c r="K12" s="11"/>
      <c r="L12" s="11"/>
      <c r="M12" s="11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</sheetData>
  <mergeCells count="3">
    <mergeCell ref="B2:G2"/>
    <mergeCell ref="B4:G4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2026-05-30T16:19:43Z</dcterms:created>
  <dc:creator>openpyxl</dc:creator>
  <dc:description/>
  <dc:language>en-US</dc:language>
  <cp:lastModifiedBy/>
  <dcterms:modified xsi:type="dcterms:W3CDTF">2026-05-30T16:20:45Z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